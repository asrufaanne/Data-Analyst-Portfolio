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Calc" sheetId="3" state="visible" r:id="rId5"/>
  </sheets>
  <definedNames>
    <definedName function="false" hidden="false" localSheetId="0" name="_xlnm.Print_Area" vbProcedure="false">Dashboard!$A$1:$O$48</definedName>
    <definedName function="false" hidden="true" localSheetId="1" name="_xlnm._FilterDatabase" vbProcedure="false">Data!$A$1:$J$201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<sst xmlns="http://schemas.openxmlformats.org/spreadsheetml/2006/main" count="1048" uniqueCount="248">
  <si>
    <t xml:space="preserve">Sales Performance Dashboard</t>
  </si>
  <si>
    <t xml:space="preserve">January to June 2026 | 200 orders | Use the two dropdowns to filter every number and chart.</t>
  </si>
  <si>
    <t xml:space="preserve">Region</t>
  </si>
  <si>
    <t xml:space="preserve">All</t>
  </si>
  <si>
    <t xml:space="preserve">Category</t>
  </si>
  <si>
    <t xml:space="preserve">Total Revenue (BDT)</t>
  </si>
  <si>
    <t xml:space="preserve">Orders</t>
  </si>
  <si>
    <t xml:space="preserve">Avg Order Value (BDT)</t>
  </si>
  <si>
    <t xml:space="preserve">Units Sold</t>
  </si>
  <si>
    <t xml:space="preserve">Key insights</t>
  </si>
  <si>
    <t xml:space="preserve">Order ID</t>
  </si>
  <si>
    <t xml:space="preserve">Date</t>
  </si>
  <si>
    <t xml:space="preserve">Salesperson</t>
  </si>
  <si>
    <t xml:space="preserve">Product</t>
  </si>
  <si>
    <t xml:space="preserve">Units</t>
  </si>
  <si>
    <t xml:space="preserve">Unit Price (BDT)</t>
  </si>
  <si>
    <t xml:space="preserve">Revenue (BDT)</t>
  </si>
  <si>
    <t xml:space="preserve">Month</t>
  </si>
  <si>
    <t xml:space="preserve">ORD-1001</t>
  </si>
  <si>
    <t xml:space="preserve">Dhaka</t>
  </si>
  <si>
    <t xml:space="preserve">Rahim</t>
  </si>
  <si>
    <t xml:space="preserve">Electronics</t>
  </si>
  <si>
    <t xml:space="preserve">Monitor</t>
  </si>
  <si>
    <t xml:space="preserve">ORD-1002</t>
  </si>
  <si>
    <t xml:space="preserve">Stationery</t>
  </si>
  <si>
    <t xml:space="preserve">Pen Box</t>
  </si>
  <si>
    <t xml:space="preserve">ORD-1003</t>
  </si>
  <si>
    <t xml:space="preserve">Rajshahi</t>
  </si>
  <si>
    <t xml:space="preserve">Arif</t>
  </si>
  <si>
    <t xml:space="preserve">Headphone</t>
  </si>
  <si>
    <t xml:space="preserve">ORD-1004</t>
  </si>
  <si>
    <t xml:space="preserve">Chattogram</t>
  </si>
  <si>
    <t xml:space="preserve">Tania</t>
  </si>
  <si>
    <t xml:space="preserve">ORD-1005</t>
  </si>
  <si>
    <t xml:space="preserve">Printer Paper</t>
  </si>
  <si>
    <t xml:space="preserve">ORD-1006</t>
  </si>
  <si>
    <t xml:space="preserve">Sylhet</t>
  </si>
  <si>
    <t xml:space="preserve">Fahim</t>
  </si>
  <si>
    <t xml:space="preserve">Furniture</t>
  </si>
  <si>
    <t xml:space="preserve">Bookshelf</t>
  </si>
  <si>
    <t xml:space="preserve">ORD-1007</t>
  </si>
  <si>
    <t xml:space="preserve">Karim</t>
  </si>
  <si>
    <t xml:space="preserve">ORD-1008</t>
  </si>
  <si>
    <t xml:space="preserve">ORD-1009</t>
  </si>
  <si>
    <t xml:space="preserve">Nusrat</t>
  </si>
  <si>
    <t xml:space="preserve">ORD-1010</t>
  </si>
  <si>
    <t xml:space="preserve">Mobile Phone</t>
  </si>
  <si>
    <t xml:space="preserve">ORD-1011</t>
  </si>
  <si>
    <t xml:space="preserve">ORD-1012</t>
  </si>
  <si>
    <t xml:space="preserve">Notebook</t>
  </si>
  <si>
    <t xml:space="preserve">ORD-1013</t>
  </si>
  <si>
    <t xml:space="preserve">Khulna</t>
  </si>
  <si>
    <t xml:space="preserve">Sadia</t>
  </si>
  <si>
    <t xml:space="preserve">ORD-1014</t>
  </si>
  <si>
    <t xml:space="preserve">Desk</t>
  </si>
  <si>
    <t xml:space="preserve">ORD-1015</t>
  </si>
  <si>
    <t xml:space="preserve">ORD-1016</t>
  </si>
  <si>
    <t xml:space="preserve">ORD-1017</t>
  </si>
  <si>
    <t xml:space="preserve">ORD-1018</t>
  </si>
  <si>
    <t xml:space="preserve">ORD-1019</t>
  </si>
  <si>
    <t xml:space="preserve">ORD-1020</t>
  </si>
  <si>
    <t xml:space="preserve">Office Chair</t>
  </si>
  <si>
    <t xml:space="preserve">ORD-1021</t>
  </si>
  <si>
    <t xml:space="preserve">ORD-1022</t>
  </si>
  <si>
    <t xml:space="preserve">ORD-1023</t>
  </si>
  <si>
    <t xml:space="preserve">ORD-1024</t>
  </si>
  <si>
    <t xml:space="preserve">ORD-1025</t>
  </si>
  <si>
    <t xml:space="preserve">ORD-1026</t>
  </si>
  <si>
    <t xml:space="preserve">ORD-1027</t>
  </si>
  <si>
    <t xml:space="preserve">ORD-1028</t>
  </si>
  <si>
    <t xml:space="preserve">ORD-1029</t>
  </si>
  <si>
    <t xml:space="preserve">ORD-1030</t>
  </si>
  <si>
    <t xml:space="preserve">ORD-1031</t>
  </si>
  <si>
    <t xml:space="preserve">ORD-1032</t>
  </si>
  <si>
    <t xml:space="preserve">ORD-1033</t>
  </si>
  <si>
    <t xml:space="preserve">ORD-1034</t>
  </si>
  <si>
    <t xml:space="preserve">Laptop</t>
  </si>
  <si>
    <t xml:space="preserve">ORD-1035</t>
  </si>
  <si>
    <t xml:space="preserve">ORD-1036</t>
  </si>
  <si>
    <t xml:space="preserve">ORD-1037</t>
  </si>
  <si>
    <t xml:space="preserve">ORD-1038</t>
  </si>
  <si>
    <t xml:space="preserve">ORD-1039</t>
  </si>
  <si>
    <t xml:space="preserve">ORD-1040</t>
  </si>
  <si>
    <t xml:space="preserve">ORD-1041</t>
  </si>
  <si>
    <t xml:space="preserve">ORD-1042</t>
  </si>
  <si>
    <t xml:space="preserve">ORD-1043</t>
  </si>
  <si>
    <t xml:space="preserve">ORD-1044</t>
  </si>
  <si>
    <t xml:space="preserve">ORD-1045</t>
  </si>
  <si>
    <t xml:space="preserve">ORD-1046</t>
  </si>
  <si>
    <t xml:space="preserve">ORD-1047</t>
  </si>
  <si>
    <t xml:space="preserve">ORD-1048</t>
  </si>
  <si>
    <t xml:space="preserve">ORD-1049</t>
  </si>
  <si>
    <t xml:space="preserve">ORD-1050</t>
  </si>
  <si>
    <t xml:space="preserve">ORD-1051</t>
  </si>
  <si>
    <t xml:space="preserve">ORD-1052</t>
  </si>
  <si>
    <t xml:space="preserve">ORD-1053</t>
  </si>
  <si>
    <t xml:space="preserve">ORD-1054</t>
  </si>
  <si>
    <t xml:space="preserve">ORD-1055</t>
  </si>
  <si>
    <t xml:space="preserve">ORD-1056</t>
  </si>
  <si>
    <t xml:space="preserve">ORD-1057</t>
  </si>
  <si>
    <t xml:space="preserve">ORD-1058</t>
  </si>
  <si>
    <t xml:space="preserve">ORD-1059</t>
  </si>
  <si>
    <t xml:space="preserve">ORD-1060</t>
  </si>
  <si>
    <t xml:space="preserve">ORD-1061</t>
  </si>
  <si>
    <t xml:space="preserve">ORD-1062</t>
  </si>
  <si>
    <t xml:space="preserve">ORD-1063</t>
  </si>
  <si>
    <t xml:space="preserve">ORD-1064</t>
  </si>
  <si>
    <t xml:space="preserve">ORD-1065</t>
  </si>
  <si>
    <t xml:space="preserve">ORD-1066</t>
  </si>
  <si>
    <t xml:space="preserve">ORD-1067</t>
  </si>
  <si>
    <t xml:space="preserve">ORD-1068</t>
  </si>
  <si>
    <t xml:space="preserve">ORD-1069</t>
  </si>
  <si>
    <t xml:space="preserve">ORD-1070</t>
  </si>
  <si>
    <t xml:space="preserve">ORD-1071</t>
  </si>
  <si>
    <t xml:space="preserve">ORD-1072</t>
  </si>
  <si>
    <t xml:space="preserve">ORD-1073</t>
  </si>
  <si>
    <t xml:space="preserve">ORD-1074</t>
  </si>
  <si>
    <t xml:space="preserve">ORD-1075</t>
  </si>
  <si>
    <t xml:space="preserve">ORD-1076</t>
  </si>
  <si>
    <t xml:space="preserve">ORD-1077</t>
  </si>
  <si>
    <t xml:space="preserve">ORD-1078</t>
  </si>
  <si>
    <t xml:space="preserve">ORD-1079</t>
  </si>
  <si>
    <t xml:space="preserve">ORD-1080</t>
  </si>
  <si>
    <t xml:space="preserve">ORD-1081</t>
  </si>
  <si>
    <t xml:space="preserve">ORD-1082</t>
  </si>
  <si>
    <t xml:space="preserve">ORD-1083</t>
  </si>
  <si>
    <t xml:space="preserve">ORD-1084</t>
  </si>
  <si>
    <t xml:space="preserve">ORD-1085</t>
  </si>
  <si>
    <t xml:space="preserve">ORD-1086</t>
  </si>
  <si>
    <t xml:space="preserve">ORD-1087</t>
  </si>
  <si>
    <t xml:space="preserve">ORD-1088</t>
  </si>
  <si>
    <t xml:space="preserve">ORD-1089</t>
  </si>
  <si>
    <t xml:space="preserve">ORD-1090</t>
  </si>
  <si>
    <t xml:space="preserve">ORD-1091</t>
  </si>
  <si>
    <t xml:space="preserve">ORD-1092</t>
  </si>
  <si>
    <t xml:space="preserve">ORD-1093</t>
  </si>
  <si>
    <t xml:space="preserve">ORD-1094</t>
  </si>
  <si>
    <t xml:space="preserve">ORD-1095</t>
  </si>
  <si>
    <t xml:space="preserve">ORD-1096</t>
  </si>
  <si>
    <t xml:space="preserve">ORD-1097</t>
  </si>
  <si>
    <t xml:space="preserve">ORD-1098</t>
  </si>
  <si>
    <t xml:space="preserve">ORD-1099</t>
  </si>
  <si>
    <t xml:space="preserve">ORD-1100</t>
  </si>
  <si>
    <t xml:space="preserve">ORD-1101</t>
  </si>
  <si>
    <t xml:space="preserve">ORD-1102</t>
  </si>
  <si>
    <t xml:space="preserve">ORD-1103</t>
  </si>
  <si>
    <t xml:space="preserve">ORD-1104</t>
  </si>
  <si>
    <t xml:space="preserve">ORD-1105</t>
  </si>
  <si>
    <t xml:space="preserve">ORD-1106</t>
  </si>
  <si>
    <t xml:space="preserve">ORD-1107</t>
  </si>
  <si>
    <t xml:space="preserve">ORD-1108</t>
  </si>
  <si>
    <t xml:space="preserve">ORD-1109</t>
  </si>
  <si>
    <t xml:space="preserve">ORD-1110</t>
  </si>
  <si>
    <t xml:space="preserve">ORD-1111</t>
  </si>
  <si>
    <t xml:space="preserve">ORD-1112</t>
  </si>
  <si>
    <t xml:space="preserve">ORD-1113</t>
  </si>
  <si>
    <t xml:space="preserve">ORD-1114</t>
  </si>
  <si>
    <t xml:space="preserve">ORD-1115</t>
  </si>
  <si>
    <t xml:space="preserve">ORD-1116</t>
  </si>
  <si>
    <t xml:space="preserve">ORD-1117</t>
  </si>
  <si>
    <t xml:space="preserve">ORD-1118</t>
  </si>
  <si>
    <t xml:space="preserve">ORD-1119</t>
  </si>
  <si>
    <t xml:space="preserve">ORD-1120</t>
  </si>
  <si>
    <t xml:space="preserve">ORD-1121</t>
  </si>
  <si>
    <t xml:space="preserve">ORD-1122</t>
  </si>
  <si>
    <t xml:space="preserve">ORD-1123</t>
  </si>
  <si>
    <t xml:space="preserve">ORD-1124</t>
  </si>
  <si>
    <t xml:space="preserve">ORD-1125</t>
  </si>
  <si>
    <t xml:space="preserve">ORD-1126</t>
  </si>
  <si>
    <t xml:space="preserve">ORD-1127</t>
  </si>
  <si>
    <t xml:space="preserve">ORD-1128</t>
  </si>
  <si>
    <t xml:space="preserve">ORD-1129</t>
  </si>
  <si>
    <t xml:space="preserve">ORD-1130</t>
  </si>
  <si>
    <t xml:space="preserve">ORD-1131</t>
  </si>
  <si>
    <t xml:space="preserve">ORD-1132</t>
  </si>
  <si>
    <t xml:space="preserve">ORD-1133</t>
  </si>
  <si>
    <t xml:space="preserve">ORD-1134</t>
  </si>
  <si>
    <t xml:space="preserve">ORD-1135</t>
  </si>
  <si>
    <t xml:space="preserve">ORD-1136</t>
  </si>
  <si>
    <t xml:space="preserve">ORD-1137</t>
  </si>
  <si>
    <t xml:space="preserve">ORD-1138</t>
  </si>
  <si>
    <t xml:space="preserve">ORD-1139</t>
  </si>
  <si>
    <t xml:space="preserve">ORD-1140</t>
  </si>
  <si>
    <t xml:space="preserve">ORD-1141</t>
  </si>
  <si>
    <t xml:space="preserve">ORD-1142</t>
  </si>
  <si>
    <t xml:space="preserve">ORD-1143</t>
  </si>
  <si>
    <t xml:space="preserve">ORD-1144</t>
  </si>
  <si>
    <t xml:space="preserve">ORD-1145</t>
  </si>
  <si>
    <t xml:space="preserve">ORD-1146</t>
  </si>
  <si>
    <t xml:space="preserve">ORD-1147</t>
  </si>
  <si>
    <t xml:space="preserve">ORD-1148</t>
  </si>
  <si>
    <t xml:space="preserve">ORD-1149</t>
  </si>
  <si>
    <t xml:space="preserve">ORD-1150</t>
  </si>
  <si>
    <t xml:space="preserve">ORD-1151</t>
  </si>
  <si>
    <t xml:space="preserve">ORD-1152</t>
  </si>
  <si>
    <t xml:space="preserve">ORD-1153</t>
  </si>
  <si>
    <t xml:space="preserve">ORD-1154</t>
  </si>
  <si>
    <t xml:space="preserve">ORD-1155</t>
  </si>
  <si>
    <t xml:space="preserve">ORD-1156</t>
  </si>
  <si>
    <t xml:space="preserve">ORD-1157</t>
  </si>
  <si>
    <t xml:space="preserve">ORD-1158</t>
  </si>
  <si>
    <t xml:space="preserve">ORD-1159</t>
  </si>
  <si>
    <t xml:space="preserve">ORD-1160</t>
  </si>
  <si>
    <t xml:space="preserve">ORD-1161</t>
  </si>
  <si>
    <t xml:space="preserve">ORD-1162</t>
  </si>
  <si>
    <t xml:space="preserve">ORD-1163</t>
  </si>
  <si>
    <t xml:space="preserve">ORD-1164</t>
  </si>
  <si>
    <t xml:space="preserve">ORD-1165</t>
  </si>
  <si>
    <t xml:space="preserve">ORD-1166</t>
  </si>
  <si>
    <t xml:space="preserve">ORD-1167</t>
  </si>
  <si>
    <t xml:space="preserve">ORD-1168</t>
  </si>
  <si>
    <t xml:space="preserve">ORD-1169</t>
  </si>
  <si>
    <t xml:space="preserve">ORD-1170</t>
  </si>
  <si>
    <t xml:space="preserve">ORD-1171</t>
  </si>
  <si>
    <t xml:space="preserve">ORD-1172</t>
  </si>
  <si>
    <t xml:space="preserve">ORD-1173</t>
  </si>
  <si>
    <t xml:space="preserve">ORD-1174</t>
  </si>
  <si>
    <t xml:space="preserve">ORD-1175</t>
  </si>
  <si>
    <t xml:space="preserve">ORD-1176</t>
  </si>
  <si>
    <t xml:space="preserve">ORD-1177</t>
  </si>
  <si>
    <t xml:space="preserve">ORD-1178</t>
  </si>
  <si>
    <t xml:space="preserve">ORD-1179</t>
  </si>
  <si>
    <t xml:space="preserve">ORD-1180</t>
  </si>
  <si>
    <t xml:space="preserve">ORD-1181</t>
  </si>
  <si>
    <t xml:space="preserve">ORD-1182</t>
  </si>
  <si>
    <t xml:space="preserve">ORD-1183</t>
  </si>
  <si>
    <t xml:space="preserve">ORD-1184</t>
  </si>
  <si>
    <t xml:space="preserve">ORD-1185</t>
  </si>
  <si>
    <t xml:space="preserve">ORD-1186</t>
  </si>
  <si>
    <t xml:space="preserve">ORD-1187</t>
  </si>
  <si>
    <t xml:space="preserve">ORD-1188</t>
  </si>
  <si>
    <t xml:space="preserve">ORD-1189</t>
  </si>
  <si>
    <t xml:space="preserve">ORD-1190</t>
  </si>
  <si>
    <t xml:space="preserve">ORD-1191</t>
  </si>
  <si>
    <t xml:space="preserve">ORD-1192</t>
  </si>
  <si>
    <t xml:space="preserve">ORD-1193</t>
  </si>
  <si>
    <t xml:space="preserve">ORD-1194</t>
  </si>
  <si>
    <t xml:space="preserve">ORD-1195</t>
  </si>
  <si>
    <t xml:space="preserve">ORD-1196</t>
  </si>
  <si>
    <t xml:space="preserve">ORD-1197</t>
  </si>
  <si>
    <t xml:space="preserve">ORD-1198</t>
  </si>
  <si>
    <t xml:space="preserve">ORD-1199</t>
  </si>
  <si>
    <t xml:space="preserve">ORD-1200</t>
  </si>
  <si>
    <t xml:space="preserve">Revenue by Region</t>
  </si>
  <si>
    <t xml:space="preserve">Revenue by Month</t>
  </si>
  <si>
    <t xml:space="preserve">Revenue by Category</t>
  </si>
  <si>
    <t xml:space="preserve">Revenue by Salesperson</t>
  </si>
  <si>
    <t xml:space="preserve">Item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</si>
</sst>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\-mmm\-yyyy"/>
    <numFmt numFmtId="167" formatCode="mmm\-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Arial"/>
      <family val="0"/>
      <charset val="1"/>
    </font>
    <font>
      <sz val="11"/>
      <color rgb="FF52514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AF2FB"/>
      </patternFill>
    </fill>
    <fill>
      <patternFill patternType="solid">
        <fgColor rgb="FFEAF2FB"/>
        <bgColor rgb="FFFFFFFF"/>
      </patternFill>
    </fill>
    <fill>
      <patternFill patternType="solid">
        <fgColor rgb="FF1F3A5F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EAF2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 (BDT)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Calc!B2</c:f>
              <c:strCache>
                <c:ptCount val="1"/>
                <c:pt idx="0">
                  <c:v>Revenue (BDT)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Calc!$A$3:$A$7</c:f>
              <c:strCache>
                <c:ptCount val="5"/>
                <c:pt idx="0">
                  <c:v>Dhaka</c:v>
                </c:pt>
                <c:pt idx="1">
                  <c:v>Chattogram</c:v>
                </c:pt>
                <c:pt idx="2">
                  <c:v>Sylhet</c:v>
                </c:pt>
                <c:pt idx="3">
                  <c:v>Khulna</c:v>
                </c:pt>
                <c:pt idx="4">
                  <c:v>Rajshahi</c:v>
                </c:pt>
              </c:strCache>
            </c:strRef>
          </c:cat>
          <c:val>
            <c:numRef>
              <c:f>Calc!$B$3:$B$7</c:f>
              <c:numCache>
                <c:formatCode>#,##0</c:formatCode>
                <c:ptCount val="5"/>
                <c:pt idx="0">
                  <c:v>3927650</c:v>
                </c:pt>
                <c:pt idx="1">
                  <c:v>2011860</c:v>
                </c:pt>
                <c:pt idx="2">
                  <c:v>990500</c:v>
                </c:pt>
                <c:pt idx="3">
                  <c:v>911690</c:v>
                </c:pt>
                <c:pt idx="4">
                  <c:v>887920</c:v>
                </c:pt>
              </c:numCache>
            </c:numRef>
          </c:val>
        </c:ser>
        <c:gapWidth val="60"/>
        <c:overlap val="0"/>
        <c:axId val="45249369"/>
        <c:axId val="36738831"/>
      </c:barChart>
      <c:catAx>
        <c:axId val="452493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38831"/>
        <c:crosses val="autoZero"/>
        <c:auto val="1"/>
        <c:lblAlgn val="ctr"/>
        <c:lblOffset val="100"/>
        <c:noMultiLvlLbl val="0"/>
      </c:catAx>
      <c:valAx>
        <c:axId val="3673883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493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Month (BDT)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Calc!E2</c:f>
              <c:strCache>
                <c:ptCount val="1"/>
                <c:pt idx="0">
                  <c:v>Revenue (BDT)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circle"/>
            <c:size val="7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Calc!$D$3:$D$8</c:f>
              <c:strCache>
                <c:ptCount val="6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</c:strCache>
            </c:strRef>
          </c:cat>
          <c:val>
            <c:numRef>
              <c:f>Calc!$E$3:$E$8</c:f>
              <c:numCache>
                <c:formatCode>#,##0</c:formatCode>
                <c:ptCount val="6"/>
                <c:pt idx="0">
                  <c:v>2030840</c:v>
                </c:pt>
                <c:pt idx="1">
                  <c:v>1812050</c:v>
                </c:pt>
                <c:pt idx="2">
                  <c:v>1397860</c:v>
                </c:pt>
                <c:pt idx="3">
                  <c:v>1282780</c:v>
                </c:pt>
                <c:pt idx="4">
                  <c:v>1397010</c:v>
                </c:pt>
                <c:pt idx="5">
                  <c:v>809080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3867062"/>
        <c:axId val="22304383"/>
      </c:lineChart>
      <c:catAx>
        <c:axId val="63867062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04383"/>
        <c:crosses val="autoZero"/>
        <c:auto val="1"/>
        <c:lblAlgn val="ctr"/>
        <c:lblOffset val="100"/>
        <c:noMultiLvlLbl val="0"/>
      </c:catAx>
      <c:valAx>
        <c:axId val="2230438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670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 (BDT)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Calc!H2</c:f>
              <c:strCache>
                <c:ptCount val="1"/>
                <c:pt idx="0">
                  <c:v>Revenue (BDT)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Calc!$G$3:$G$5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Calc!$H$3:$H$5</c:f>
              <c:numCache>
                <c:formatCode>#,##0</c:formatCode>
                <c:ptCount val="3"/>
                <c:pt idx="0">
                  <c:v>4792500</c:v>
                </c:pt>
                <c:pt idx="1">
                  <c:v>3205000</c:v>
                </c:pt>
                <c:pt idx="2">
                  <c:v>732120</c:v>
                </c:pt>
              </c:numCache>
            </c:numRef>
          </c:val>
        </c:ser>
        <c:gapWidth val="60"/>
        <c:overlap val="0"/>
        <c:axId val="99097755"/>
        <c:axId val="42674823"/>
      </c:barChart>
      <c:catAx>
        <c:axId val="990977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74823"/>
        <c:crosses val="autoZero"/>
        <c:auto val="1"/>
        <c:lblAlgn val="ctr"/>
        <c:lblOffset val="100"/>
        <c:noMultiLvlLbl val="0"/>
      </c:catAx>
      <c:valAx>
        <c:axId val="4267482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977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Salesperson (BDT)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Calc!K2</c:f>
              <c:strCache>
                <c:ptCount val="1"/>
                <c:pt idx="0">
                  <c:v>Revenue (BDT)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Calc!$J$3:$J$9</c:f>
              <c:strCache>
                <c:ptCount val="7"/>
                <c:pt idx="0">
                  <c:v>Rahim</c:v>
                </c:pt>
                <c:pt idx="1">
                  <c:v>Nusrat</c:v>
                </c:pt>
                <c:pt idx="2">
                  <c:v>Karim</c:v>
                </c:pt>
                <c:pt idx="3">
                  <c:v>Tania</c:v>
                </c:pt>
                <c:pt idx="4">
                  <c:v>Fahim</c:v>
                </c:pt>
                <c:pt idx="5">
                  <c:v>Sadia</c:v>
                </c:pt>
                <c:pt idx="6">
                  <c:v>Arif</c:v>
                </c:pt>
              </c:strCache>
            </c:strRef>
          </c:cat>
          <c:val>
            <c:numRef>
              <c:f>Calc!$K$3:$K$9</c:f>
              <c:numCache>
                <c:formatCode>#,##0</c:formatCode>
                <c:ptCount val="7"/>
                <c:pt idx="0">
                  <c:v>1899670</c:v>
                </c:pt>
                <c:pt idx="1">
                  <c:v>2027980</c:v>
                </c:pt>
                <c:pt idx="2">
                  <c:v>1146040</c:v>
                </c:pt>
                <c:pt idx="3">
                  <c:v>865820</c:v>
                </c:pt>
                <c:pt idx="4">
                  <c:v>990500</c:v>
                </c:pt>
                <c:pt idx="5">
                  <c:v>911690</c:v>
                </c:pt>
                <c:pt idx="6">
                  <c:v>887920</c:v>
                </c:pt>
              </c:numCache>
            </c:numRef>
          </c:val>
        </c:ser>
        <c:gapWidth val="60"/>
        <c:overlap val="0"/>
        <c:axId val="91194453"/>
        <c:axId val="52232246"/>
      </c:barChart>
      <c:catAx>
        <c:axId val="911944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32246"/>
        <c:crosses val="autoZero"/>
        <c:auto val="1"/>
        <c:lblAlgn val="ctr"/>
        <c:lblOffset val="100"/>
        <c:noMultiLvlLbl val="0"/>
      </c:catAx>
      <c:valAx>
        <c:axId val="5223224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944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70560</xdr:rowOff>
    </xdr:from>
    <xdr:to>
      <xdr:col>6</xdr:col>
      <xdr:colOff>96840</xdr:colOff>
      <xdr:row>28</xdr:row>
      <xdr:rowOff>103320</xdr:rowOff>
    </xdr:to>
    <xdr:graphicFrame>
      <xdr:nvGraphicFramePr>
        <xdr:cNvPr id="0" name="Chart 1"/>
        <xdr:cNvGraphicFramePr/>
      </xdr:nvGraphicFramePr>
      <xdr:xfrm>
        <a:off x="141120" y="2857680"/>
        <a:ext cx="460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70560</xdr:rowOff>
    </xdr:from>
    <xdr:to>
      <xdr:col>12</xdr:col>
      <xdr:colOff>96480</xdr:colOff>
      <xdr:row>28</xdr:row>
      <xdr:rowOff>103320</xdr:rowOff>
    </xdr:to>
    <xdr:graphicFrame>
      <xdr:nvGraphicFramePr>
        <xdr:cNvPr id="1" name="Chart 2"/>
        <xdr:cNvGraphicFramePr/>
      </xdr:nvGraphicFramePr>
      <xdr:xfrm>
        <a:off x="4933800" y="2857680"/>
        <a:ext cx="460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70560</xdr:rowOff>
    </xdr:from>
    <xdr:to>
      <xdr:col>6</xdr:col>
      <xdr:colOff>96840</xdr:colOff>
      <xdr:row>44</xdr:row>
      <xdr:rowOff>102960</xdr:rowOff>
    </xdr:to>
    <xdr:graphicFrame>
      <xdr:nvGraphicFramePr>
        <xdr:cNvPr id="2" name="Chart 3"/>
        <xdr:cNvGraphicFramePr/>
      </xdr:nvGraphicFramePr>
      <xdr:xfrm>
        <a:off x="141120" y="5905440"/>
        <a:ext cx="460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30</xdr:row>
      <xdr:rowOff>70560</xdr:rowOff>
    </xdr:from>
    <xdr:to>
      <xdr:col>12</xdr:col>
      <xdr:colOff>96480</xdr:colOff>
      <xdr:row>44</xdr:row>
      <xdr:rowOff>102960</xdr:rowOff>
    </xdr:to>
    <xdr:graphicFrame>
      <xdr:nvGraphicFramePr>
        <xdr:cNvPr id="3" name="Chart 4"/>
        <xdr:cNvGraphicFramePr/>
      </xdr:nvGraphicFramePr>
      <xdr:xfrm>
        <a:off x="4933800" y="5905440"/>
        <a:ext cx="460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4"/>
    <col collapsed="false" customWidth="true" hidden="false" outlineLevel="0" max="11" min="11" style="0" width="16"/>
    <col collapsed="false" customWidth="true" hidden="false" outlineLevel="0" max="12" min="12" style="0" width="14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  <c r="E4" s="3" t="s">
        <v>4</v>
      </c>
      <c r="F4" s="4" t="s">
        <v>3</v>
      </c>
    </row>
    <row r="6" customFormat="false" ht="15" hidden="false" customHeight="false" outlineLevel="0" collapsed="false">
      <c r="B6" s="5"/>
      <c r="C6" s="5"/>
      <c r="E6" s="5"/>
      <c r="F6" s="5"/>
      <c r="H6" s="5"/>
      <c r="I6" s="5"/>
      <c r="K6" s="5"/>
      <c r="L6" s="5"/>
    </row>
    <row r="7" customFormat="false" ht="15" hidden="false" customHeight="false" outlineLevel="0" collapsed="false">
      <c r="B7" s="6" t="s">
        <v>5</v>
      </c>
      <c r="C7" s="6"/>
      <c r="E7" s="6" t="s">
        <v>6</v>
      </c>
      <c r="F7" s="6"/>
      <c r="H7" s="6" t="s">
        <v>7</v>
      </c>
      <c r="I7" s="6"/>
      <c r="K7" s="6" t="s">
        <v>8</v>
      </c>
      <c r="L7" s="6"/>
    </row>
    <row r="8" customFormat="false" ht="15" hidden="false" customHeight="false" outlineLevel="0" collapsed="false">
      <c r="B8" s="7" t="n">
        <f aca="false">SUMPRODUCT(((Dashboard!$C$4="All")+(Data!$C$2:$C$201=Dashboard!$C$4)&gt;0)*((Dashboard!$F$4="All")+(Data!$E$2:$E$201=Dashboard!$F$4)&gt;0)*Data!$I$2:$I$201)</f>
        <v>8729620</v>
      </c>
      <c r="C8" s="7"/>
      <c r="E8" s="7" t="n">
        <f aca="false">SUMPRODUCT(((Dashboard!$C$4="All")+(Data!$C$2:$C$201=Dashboard!$C$4)&gt;0)*((Dashboard!$F$4="All")+(Data!$E$2:$E$201=Dashboard!$F$4)&gt;0)*1)</f>
        <v>200</v>
      </c>
      <c r="F8" s="7"/>
      <c r="H8" s="7" t="n">
        <f aca="false">IF(E8=0,0,B8/E8)</f>
        <v>43648.1</v>
      </c>
      <c r="I8" s="7"/>
      <c r="K8" s="7" t="n">
        <f aca="false">SUMPRODUCT(((Dashboard!$C$4="All")+(Data!$C$2:$C$201=Dashboard!$C$4)&gt;0)*((Dashboard!$F$4="All")+(Data!$E$2:$E$201=Dashboard!$F$4)&gt;0)*Data!$G$2:$G$201)</f>
        <v>2565</v>
      </c>
      <c r="L8" s="7"/>
    </row>
    <row r="9" customFormat="false" ht="15" hidden="false" customHeight="false" outlineLevel="0" collapsed="false">
      <c r="B9" s="7"/>
      <c r="C9" s="7"/>
      <c r="E9" s="7"/>
      <c r="F9" s="7"/>
      <c r="H9" s="7"/>
      <c r="I9" s="7"/>
      <c r="K9" s="7"/>
      <c r="L9" s="7"/>
    </row>
    <row r="11" customFormat="false" ht="15" hidden="false" customHeight="false" outlineLevel="0" collapsed="false">
      <c r="B11" s="8" t="s">
        <v>9</v>
      </c>
    </row>
    <row r="12" customFormat="false" ht="15" hidden="false" customHeight="false" outlineLevel="0" collapsed="false">
      <c r="B12" s="9" t="str">
        <f aca="false">"Top region: "&amp;INDEX(Calc!A3:A7,MATCH(MAX(Calc!B3:B7),Calc!B3:B7,0))&amp;" with BDT "&amp;TEXT(MAX(Calc!B3:B7),"#,##0")&amp;" ("&amp;TEXT(IF(B8=0,0,MAX(Calc!B3:B7)/B8),"0%")&amp;" of revenue)"</f>
        <v>Top region: Dhaka with BDT 3,927,650 (45% of revenue)</v>
      </c>
    </row>
    <row r="13" customFormat="false" ht="15" hidden="false" customHeight="false" outlineLevel="0" collapsed="false">
      <c r="B13" s="9" t="str">
        <f aca="false">"Top category: "&amp;INDEX(Calc!G3:G5,MATCH(MAX(Calc!H3:H5),Calc!H3:H5,0))&amp;" with BDT "&amp;TEXT(MAX(Calc!H3:H5),"#,##0")</f>
        <v>Top category: Electronics with BDT 4,792,500</v>
      </c>
    </row>
    <row r="14" customFormat="false" ht="15" hidden="false" customHeight="false" outlineLevel="0" collapsed="false">
      <c r="B14" s="9" t="str">
        <f aca="false">"Best month: "&amp;TEXT(INDEX(Calc!D3:D8,MATCH(MAX(Calc!E3:E8),Calc!E3:E8,0)),"mmmm yyyy")&amp;" | Top salesperson: "&amp;INDEX(Calc!J3:J9,MATCH(MAX(Calc!K3:K9),Calc!K3:K9,0))</f>
        <v>Best month: January 2026 | Top salesperson: Nusrat</v>
      </c>
    </row>
  </sheetData>
  <mergeCells count="12">
    <mergeCell ref="B6:C6"/>
    <mergeCell ref="E6:F6"/>
    <mergeCell ref="H6:I6"/>
    <mergeCell ref="K6:L6"/>
    <mergeCell ref="B7:C7"/>
    <mergeCell ref="E7:F7"/>
    <mergeCell ref="H7:I7"/>
    <mergeCell ref="K7:L7"/>
    <mergeCell ref="B8:C9"/>
    <mergeCell ref="E8:F9"/>
    <mergeCell ref="H8:I9"/>
    <mergeCell ref="K8:L9"/>
  </mergeCells>
  <dataValidations count="2">
    <dataValidation allowBlank="false" errorStyle="stop" operator="between" showDropDown="false" showErrorMessage="false" showInputMessage="false" sqref="C4" type="list">
      <formula1>"All,Dhaka,Chattogram,Sylhet,Khulna,Rajshahi"</formula1>
      <formula2>0</formula2>
    </dataValidation>
    <dataValidation allowBlank="false" errorStyle="stop" operator="between" showDropDown="false" showErrorMessage="false" showInputMessage="false" sqref="F4" type="list">
      <formula1>"All,Electronics,Furniture,Stationery"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5" min="2" style="0" width="13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1"/>
  </cols>
  <sheetData>
    <row r="1" customFormat="false" ht="15" hidden="false" customHeight="false" outlineLevel="0" collapsed="false">
      <c r="A1" s="10" t="s">
        <v>10</v>
      </c>
      <c r="B1" s="10" t="s">
        <v>11</v>
      </c>
      <c r="C1" s="10" t="s">
        <v>2</v>
      </c>
      <c r="D1" s="10" t="s">
        <v>12</v>
      </c>
      <c r="E1" s="10" t="s">
        <v>4</v>
      </c>
      <c r="F1" s="10" t="s">
        <v>13</v>
      </c>
      <c r="G1" s="10" t="s">
        <v>14</v>
      </c>
      <c r="H1" s="10" t="s">
        <v>15</v>
      </c>
      <c r="I1" s="10" t="s">
        <v>16</v>
      </c>
      <c r="J1" s="10" t="s">
        <v>17</v>
      </c>
    </row>
    <row r="2" customFormat="false" ht="15" hidden="false" customHeight="false" outlineLevel="0" collapsed="false">
      <c r="A2" s="9" t="s">
        <v>18</v>
      </c>
      <c r="B2" s="11" t="n">
        <v>46189</v>
      </c>
      <c r="C2" s="9" t="s">
        <v>19</v>
      </c>
      <c r="D2" s="9" t="s">
        <v>20</v>
      </c>
      <c r="E2" s="9" t="s">
        <v>21</v>
      </c>
      <c r="F2" s="9" t="s">
        <v>22</v>
      </c>
      <c r="G2" s="9" t="n">
        <v>4</v>
      </c>
      <c r="H2" s="12" t="n">
        <v>18000</v>
      </c>
      <c r="I2" s="12" t="n">
        <f aca="false">G2*H2</f>
        <v>72000</v>
      </c>
      <c r="J2" s="13" t="n">
        <f aca="false">DATE(YEAR(B2),MONTH(B2),1)</f>
        <v>46174</v>
      </c>
    </row>
    <row r="3" customFormat="false" ht="15" hidden="false" customHeight="false" outlineLevel="0" collapsed="false">
      <c r="A3" s="9" t="s">
        <v>23</v>
      </c>
      <c r="B3" s="11" t="n">
        <v>46116</v>
      </c>
      <c r="C3" s="9" t="s">
        <v>19</v>
      </c>
      <c r="D3" s="9" t="s">
        <v>20</v>
      </c>
      <c r="E3" s="9" t="s">
        <v>24</v>
      </c>
      <c r="F3" s="9" t="s">
        <v>25</v>
      </c>
      <c r="G3" s="9" t="n">
        <v>11</v>
      </c>
      <c r="H3" s="12" t="n">
        <v>350</v>
      </c>
      <c r="I3" s="12" t="n">
        <f aca="false">G3*H3</f>
        <v>3850</v>
      </c>
      <c r="J3" s="13" t="n">
        <f aca="false">DATE(YEAR(B3),MONTH(B3),1)</f>
        <v>46113</v>
      </c>
    </row>
    <row r="4" customFormat="false" ht="15" hidden="false" customHeight="false" outlineLevel="0" collapsed="false">
      <c r="A4" s="9" t="s">
        <v>26</v>
      </c>
      <c r="B4" s="11" t="n">
        <v>46045</v>
      </c>
      <c r="C4" s="9" t="s">
        <v>27</v>
      </c>
      <c r="D4" s="9" t="s">
        <v>28</v>
      </c>
      <c r="E4" s="9" t="s">
        <v>21</v>
      </c>
      <c r="F4" s="9" t="s">
        <v>29</v>
      </c>
      <c r="G4" s="9" t="n">
        <v>1</v>
      </c>
      <c r="H4" s="12" t="n">
        <v>2500</v>
      </c>
      <c r="I4" s="12" t="n">
        <f aca="false">G4*H4</f>
        <v>2500</v>
      </c>
      <c r="J4" s="13" t="n">
        <f aca="false">DATE(YEAR(B4),MONTH(B4),1)</f>
        <v>46023</v>
      </c>
    </row>
    <row r="5" customFormat="false" ht="15" hidden="false" customHeight="false" outlineLevel="0" collapsed="false">
      <c r="A5" s="9" t="s">
        <v>30</v>
      </c>
      <c r="B5" s="11" t="n">
        <v>46164</v>
      </c>
      <c r="C5" s="9" t="s">
        <v>31</v>
      </c>
      <c r="D5" s="9" t="s">
        <v>32</v>
      </c>
      <c r="E5" s="9" t="s">
        <v>21</v>
      </c>
      <c r="F5" s="9" t="s">
        <v>29</v>
      </c>
      <c r="G5" s="9" t="n">
        <v>1</v>
      </c>
      <c r="H5" s="12" t="n">
        <v>2500</v>
      </c>
      <c r="I5" s="12" t="n">
        <f aca="false">G5*H5</f>
        <v>2500</v>
      </c>
      <c r="J5" s="13" t="n">
        <f aca="false">DATE(YEAR(B5),MONTH(B5),1)</f>
        <v>46143</v>
      </c>
    </row>
    <row r="6" customFormat="false" ht="15" hidden="false" customHeight="false" outlineLevel="0" collapsed="false">
      <c r="A6" s="9" t="s">
        <v>33</v>
      </c>
      <c r="B6" s="11" t="n">
        <v>46080</v>
      </c>
      <c r="C6" s="9" t="s">
        <v>19</v>
      </c>
      <c r="D6" s="9" t="s">
        <v>20</v>
      </c>
      <c r="E6" s="9" t="s">
        <v>24</v>
      </c>
      <c r="F6" s="9" t="s">
        <v>34</v>
      </c>
      <c r="G6" s="9" t="n">
        <v>12</v>
      </c>
      <c r="H6" s="12" t="n">
        <v>600</v>
      </c>
      <c r="I6" s="12" t="n">
        <f aca="false">G6*H6</f>
        <v>7200</v>
      </c>
      <c r="J6" s="13" t="n">
        <f aca="false">DATE(YEAR(B6),MONTH(B6),1)</f>
        <v>46054</v>
      </c>
    </row>
    <row r="7" customFormat="false" ht="15" hidden="false" customHeight="false" outlineLevel="0" collapsed="false">
      <c r="A7" s="9" t="s">
        <v>35</v>
      </c>
      <c r="B7" s="11" t="n">
        <v>46079</v>
      </c>
      <c r="C7" s="9" t="s">
        <v>36</v>
      </c>
      <c r="D7" s="9" t="s">
        <v>37</v>
      </c>
      <c r="E7" s="9" t="s">
        <v>38</v>
      </c>
      <c r="F7" s="9" t="s">
        <v>39</v>
      </c>
      <c r="G7" s="9" t="n">
        <v>1</v>
      </c>
      <c r="H7" s="12" t="n">
        <v>7000</v>
      </c>
      <c r="I7" s="12" t="n">
        <f aca="false">G7*H7</f>
        <v>7000</v>
      </c>
      <c r="J7" s="13" t="n">
        <f aca="false">DATE(YEAR(B7),MONTH(B7),1)</f>
        <v>46054</v>
      </c>
    </row>
    <row r="8" customFormat="false" ht="15" hidden="false" customHeight="false" outlineLevel="0" collapsed="false">
      <c r="A8" s="9" t="s">
        <v>40</v>
      </c>
      <c r="B8" s="11" t="n">
        <v>46130</v>
      </c>
      <c r="C8" s="9" t="s">
        <v>31</v>
      </c>
      <c r="D8" s="9" t="s">
        <v>41</v>
      </c>
      <c r="E8" s="9" t="s">
        <v>21</v>
      </c>
      <c r="F8" s="9" t="s">
        <v>22</v>
      </c>
      <c r="G8" s="9" t="n">
        <v>3</v>
      </c>
      <c r="H8" s="12" t="n">
        <v>18000</v>
      </c>
      <c r="I8" s="12" t="n">
        <f aca="false">G8*H8</f>
        <v>54000</v>
      </c>
      <c r="J8" s="13" t="n">
        <f aca="false">DATE(YEAR(B8),MONTH(B8),1)</f>
        <v>46113</v>
      </c>
    </row>
    <row r="9" customFormat="false" ht="15" hidden="false" customHeight="false" outlineLevel="0" collapsed="false">
      <c r="A9" s="9" t="s">
        <v>42</v>
      </c>
      <c r="B9" s="11" t="n">
        <v>46166</v>
      </c>
      <c r="C9" s="9" t="s">
        <v>31</v>
      </c>
      <c r="D9" s="9" t="s">
        <v>41</v>
      </c>
      <c r="E9" s="9" t="s">
        <v>24</v>
      </c>
      <c r="F9" s="9" t="s">
        <v>34</v>
      </c>
      <c r="G9" s="9" t="n">
        <v>24</v>
      </c>
      <c r="H9" s="12" t="n">
        <v>600</v>
      </c>
      <c r="I9" s="12" t="n">
        <f aca="false">G9*H9</f>
        <v>14400</v>
      </c>
      <c r="J9" s="13" t="n">
        <f aca="false">DATE(YEAR(B9),MONTH(B9),1)</f>
        <v>46143</v>
      </c>
    </row>
    <row r="10" customFormat="false" ht="15" hidden="false" customHeight="false" outlineLevel="0" collapsed="false">
      <c r="A10" s="9" t="s">
        <v>43</v>
      </c>
      <c r="B10" s="11" t="n">
        <v>46071</v>
      </c>
      <c r="C10" s="9" t="s">
        <v>19</v>
      </c>
      <c r="D10" s="9" t="s">
        <v>44</v>
      </c>
      <c r="E10" s="9" t="s">
        <v>24</v>
      </c>
      <c r="F10" s="9" t="s">
        <v>34</v>
      </c>
      <c r="G10" s="9" t="n">
        <v>45</v>
      </c>
      <c r="H10" s="12" t="n">
        <v>600</v>
      </c>
      <c r="I10" s="12" t="n">
        <f aca="false">G10*H10</f>
        <v>27000</v>
      </c>
      <c r="J10" s="13" t="n">
        <f aca="false">DATE(YEAR(B10),MONTH(B10),1)</f>
        <v>46054</v>
      </c>
    </row>
    <row r="11" customFormat="false" ht="15" hidden="false" customHeight="false" outlineLevel="0" collapsed="false">
      <c r="A11" s="9" t="s">
        <v>45</v>
      </c>
      <c r="B11" s="11" t="n">
        <v>46038</v>
      </c>
      <c r="C11" s="9" t="s">
        <v>19</v>
      </c>
      <c r="D11" s="9" t="s">
        <v>20</v>
      </c>
      <c r="E11" s="9" t="s">
        <v>21</v>
      </c>
      <c r="F11" s="9" t="s">
        <v>46</v>
      </c>
      <c r="G11" s="9" t="n">
        <v>5</v>
      </c>
      <c r="H11" s="12" t="n">
        <v>25000</v>
      </c>
      <c r="I11" s="12" t="n">
        <f aca="false">G11*H11</f>
        <v>125000</v>
      </c>
      <c r="J11" s="13" t="n">
        <f aca="false">DATE(YEAR(B11),MONTH(B11),1)</f>
        <v>46023</v>
      </c>
    </row>
    <row r="12" customFormat="false" ht="15" hidden="false" customHeight="false" outlineLevel="0" collapsed="false">
      <c r="A12" s="9" t="s">
        <v>47</v>
      </c>
      <c r="B12" s="11" t="n">
        <v>46103</v>
      </c>
      <c r="C12" s="9" t="s">
        <v>31</v>
      </c>
      <c r="D12" s="9" t="s">
        <v>32</v>
      </c>
      <c r="E12" s="9" t="s">
        <v>24</v>
      </c>
      <c r="F12" s="9" t="s">
        <v>25</v>
      </c>
      <c r="G12" s="9" t="n">
        <v>32</v>
      </c>
      <c r="H12" s="12" t="n">
        <v>350</v>
      </c>
      <c r="I12" s="12" t="n">
        <f aca="false">G12*H12</f>
        <v>11200</v>
      </c>
      <c r="J12" s="13" t="n">
        <f aca="false">DATE(YEAR(B12),MONTH(B12),1)</f>
        <v>46082</v>
      </c>
    </row>
    <row r="13" customFormat="false" ht="15" hidden="false" customHeight="false" outlineLevel="0" collapsed="false">
      <c r="A13" s="9" t="s">
        <v>48</v>
      </c>
      <c r="B13" s="11" t="n">
        <v>46099</v>
      </c>
      <c r="C13" s="9" t="s">
        <v>36</v>
      </c>
      <c r="D13" s="9" t="s">
        <v>37</v>
      </c>
      <c r="E13" s="9" t="s">
        <v>24</v>
      </c>
      <c r="F13" s="9" t="s">
        <v>49</v>
      </c>
      <c r="G13" s="9" t="n">
        <v>28</v>
      </c>
      <c r="H13" s="12" t="n">
        <v>120</v>
      </c>
      <c r="I13" s="12" t="n">
        <f aca="false">G13*H13</f>
        <v>3360</v>
      </c>
      <c r="J13" s="13" t="n">
        <f aca="false">DATE(YEAR(B13),MONTH(B13),1)</f>
        <v>46082</v>
      </c>
    </row>
    <row r="14" customFormat="false" ht="15" hidden="false" customHeight="false" outlineLevel="0" collapsed="false">
      <c r="A14" s="9" t="s">
        <v>50</v>
      </c>
      <c r="B14" s="11" t="n">
        <v>46170</v>
      </c>
      <c r="C14" s="9" t="s">
        <v>51</v>
      </c>
      <c r="D14" s="9" t="s">
        <v>52</v>
      </c>
      <c r="E14" s="9" t="s">
        <v>21</v>
      </c>
      <c r="F14" s="9" t="s">
        <v>29</v>
      </c>
      <c r="G14" s="9" t="n">
        <v>1</v>
      </c>
      <c r="H14" s="12" t="n">
        <v>2500</v>
      </c>
      <c r="I14" s="12" t="n">
        <f aca="false">G14*H14</f>
        <v>2500</v>
      </c>
      <c r="J14" s="13" t="n">
        <f aca="false">DATE(YEAR(B14),MONTH(B14),1)</f>
        <v>46143</v>
      </c>
    </row>
    <row r="15" customFormat="false" ht="15" hidden="false" customHeight="false" outlineLevel="0" collapsed="false">
      <c r="A15" s="9" t="s">
        <v>53</v>
      </c>
      <c r="B15" s="11" t="n">
        <v>46137</v>
      </c>
      <c r="C15" s="9" t="s">
        <v>31</v>
      </c>
      <c r="D15" s="9" t="s">
        <v>32</v>
      </c>
      <c r="E15" s="9" t="s">
        <v>38</v>
      </c>
      <c r="F15" s="9" t="s">
        <v>54</v>
      </c>
      <c r="G15" s="9" t="n">
        <v>12</v>
      </c>
      <c r="H15" s="12" t="n">
        <v>15000</v>
      </c>
      <c r="I15" s="12" t="n">
        <f aca="false">G15*H15</f>
        <v>180000</v>
      </c>
      <c r="J15" s="13" t="n">
        <f aca="false">DATE(YEAR(B15),MONTH(B15),1)</f>
        <v>46113</v>
      </c>
    </row>
    <row r="16" customFormat="false" ht="15" hidden="false" customHeight="false" outlineLevel="0" collapsed="false">
      <c r="A16" s="9" t="s">
        <v>55</v>
      </c>
      <c r="B16" s="11" t="n">
        <v>46154</v>
      </c>
      <c r="C16" s="9" t="s">
        <v>36</v>
      </c>
      <c r="D16" s="9" t="s">
        <v>37</v>
      </c>
      <c r="E16" s="9" t="s">
        <v>21</v>
      </c>
      <c r="F16" s="9" t="s">
        <v>46</v>
      </c>
      <c r="G16" s="9" t="n">
        <v>1</v>
      </c>
      <c r="H16" s="12" t="n">
        <v>25000</v>
      </c>
      <c r="I16" s="12" t="n">
        <f aca="false">G16*H16</f>
        <v>25000</v>
      </c>
      <c r="J16" s="13" t="n">
        <f aca="false">DATE(YEAR(B16),MONTH(B16),1)</f>
        <v>46143</v>
      </c>
    </row>
    <row r="17" customFormat="false" ht="15" hidden="false" customHeight="false" outlineLevel="0" collapsed="false">
      <c r="A17" s="9" t="s">
        <v>56</v>
      </c>
      <c r="B17" s="11" t="n">
        <v>46148</v>
      </c>
      <c r="C17" s="9" t="s">
        <v>19</v>
      </c>
      <c r="D17" s="9" t="s">
        <v>44</v>
      </c>
      <c r="E17" s="9" t="s">
        <v>38</v>
      </c>
      <c r="F17" s="9" t="s">
        <v>54</v>
      </c>
      <c r="G17" s="9" t="n">
        <v>3</v>
      </c>
      <c r="H17" s="12" t="n">
        <v>15000</v>
      </c>
      <c r="I17" s="12" t="n">
        <f aca="false">G17*H17</f>
        <v>45000</v>
      </c>
      <c r="J17" s="13" t="n">
        <f aca="false">DATE(YEAR(B17),MONTH(B17),1)</f>
        <v>46143</v>
      </c>
    </row>
    <row r="18" customFormat="false" ht="15" hidden="false" customHeight="false" outlineLevel="0" collapsed="false">
      <c r="A18" s="9" t="s">
        <v>57</v>
      </c>
      <c r="B18" s="11" t="n">
        <v>46169</v>
      </c>
      <c r="C18" s="9" t="s">
        <v>19</v>
      </c>
      <c r="D18" s="9" t="s">
        <v>44</v>
      </c>
      <c r="E18" s="9" t="s">
        <v>21</v>
      </c>
      <c r="F18" s="9" t="s">
        <v>46</v>
      </c>
      <c r="G18" s="9" t="n">
        <v>5</v>
      </c>
      <c r="H18" s="12" t="n">
        <v>25000</v>
      </c>
      <c r="I18" s="12" t="n">
        <f aca="false">G18*H18</f>
        <v>125000</v>
      </c>
      <c r="J18" s="13" t="n">
        <f aca="false">DATE(YEAR(B18),MONTH(B18),1)</f>
        <v>46143</v>
      </c>
    </row>
    <row r="19" customFormat="false" ht="15" hidden="false" customHeight="false" outlineLevel="0" collapsed="false">
      <c r="A19" s="9" t="s">
        <v>58</v>
      </c>
      <c r="B19" s="11" t="n">
        <v>46150</v>
      </c>
      <c r="C19" s="9" t="s">
        <v>19</v>
      </c>
      <c r="D19" s="9" t="s">
        <v>44</v>
      </c>
      <c r="E19" s="9" t="s">
        <v>38</v>
      </c>
      <c r="F19" s="9" t="s">
        <v>54</v>
      </c>
      <c r="G19" s="9" t="n">
        <v>10</v>
      </c>
      <c r="H19" s="12" t="n">
        <v>15000</v>
      </c>
      <c r="I19" s="12" t="n">
        <f aca="false">G19*H19</f>
        <v>150000</v>
      </c>
      <c r="J19" s="13" t="n">
        <f aca="false">DATE(YEAR(B19),MONTH(B19),1)</f>
        <v>46143</v>
      </c>
    </row>
    <row r="20" customFormat="false" ht="15" hidden="false" customHeight="false" outlineLevel="0" collapsed="false">
      <c r="A20" s="9" t="s">
        <v>59</v>
      </c>
      <c r="B20" s="11" t="n">
        <v>46144</v>
      </c>
      <c r="C20" s="9" t="s">
        <v>19</v>
      </c>
      <c r="D20" s="9" t="s">
        <v>20</v>
      </c>
      <c r="E20" s="9" t="s">
        <v>21</v>
      </c>
      <c r="F20" s="9" t="s">
        <v>46</v>
      </c>
      <c r="G20" s="9" t="n">
        <v>3</v>
      </c>
      <c r="H20" s="12" t="n">
        <v>25000</v>
      </c>
      <c r="I20" s="12" t="n">
        <f aca="false">G20*H20</f>
        <v>75000</v>
      </c>
      <c r="J20" s="13" t="n">
        <f aca="false">DATE(YEAR(B20),MONTH(B20),1)</f>
        <v>46143</v>
      </c>
    </row>
    <row r="21" customFormat="false" ht="15" hidden="false" customHeight="false" outlineLevel="0" collapsed="false">
      <c r="A21" s="9" t="s">
        <v>60</v>
      </c>
      <c r="B21" s="11" t="n">
        <v>46170</v>
      </c>
      <c r="C21" s="9" t="s">
        <v>19</v>
      </c>
      <c r="D21" s="9" t="s">
        <v>44</v>
      </c>
      <c r="E21" s="9" t="s">
        <v>38</v>
      </c>
      <c r="F21" s="9" t="s">
        <v>61</v>
      </c>
      <c r="G21" s="9" t="n">
        <v>11</v>
      </c>
      <c r="H21" s="12" t="n">
        <v>9000</v>
      </c>
      <c r="I21" s="12" t="n">
        <f aca="false">G21*H21</f>
        <v>99000</v>
      </c>
      <c r="J21" s="13" t="n">
        <f aca="false">DATE(YEAR(B21),MONTH(B21),1)</f>
        <v>46143</v>
      </c>
    </row>
    <row r="22" customFormat="false" ht="15" hidden="false" customHeight="false" outlineLevel="0" collapsed="false">
      <c r="A22" s="9" t="s">
        <v>62</v>
      </c>
      <c r="B22" s="11" t="n">
        <v>46111</v>
      </c>
      <c r="C22" s="9" t="s">
        <v>19</v>
      </c>
      <c r="D22" s="9" t="s">
        <v>20</v>
      </c>
      <c r="E22" s="9" t="s">
        <v>38</v>
      </c>
      <c r="F22" s="9" t="s">
        <v>39</v>
      </c>
      <c r="G22" s="9" t="n">
        <v>11</v>
      </c>
      <c r="H22" s="12" t="n">
        <v>7000</v>
      </c>
      <c r="I22" s="12" t="n">
        <f aca="false">G22*H22</f>
        <v>77000</v>
      </c>
      <c r="J22" s="13" t="n">
        <f aca="false">DATE(YEAR(B22),MONTH(B22),1)</f>
        <v>46082</v>
      </c>
    </row>
    <row r="23" customFormat="false" ht="15" hidden="false" customHeight="false" outlineLevel="0" collapsed="false">
      <c r="A23" s="9" t="s">
        <v>63</v>
      </c>
      <c r="B23" s="11" t="n">
        <v>46179</v>
      </c>
      <c r="C23" s="9" t="s">
        <v>27</v>
      </c>
      <c r="D23" s="9" t="s">
        <v>28</v>
      </c>
      <c r="E23" s="9" t="s">
        <v>38</v>
      </c>
      <c r="F23" s="9" t="s">
        <v>54</v>
      </c>
      <c r="G23" s="9" t="n">
        <v>3</v>
      </c>
      <c r="H23" s="12" t="n">
        <v>15000</v>
      </c>
      <c r="I23" s="12" t="n">
        <f aca="false">G23*H23</f>
        <v>45000</v>
      </c>
      <c r="J23" s="13" t="n">
        <f aca="false">DATE(YEAR(B23),MONTH(B23),1)</f>
        <v>46174</v>
      </c>
    </row>
    <row r="24" customFormat="false" ht="15" hidden="false" customHeight="false" outlineLevel="0" collapsed="false">
      <c r="A24" s="9" t="s">
        <v>64</v>
      </c>
      <c r="B24" s="11" t="n">
        <v>46056</v>
      </c>
      <c r="C24" s="9" t="s">
        <v>31</v>
      </c>
      <c r="D24" s="9" t="s">
        <v>41</v>
      </c>
      <c r="E24" s="9" t="s">
        <v>21</v>
      </c>
      <c r="F24" s="9" t="s">
        <v>29</v>
      </c>
      <c r="G24" s="9" t="n">
        <v>3</v>
      </c>
      <c r="H24" s="12" t="n">
        <v>2500</v>
      </c>
      <c r="I24" s="12" t="n">
        <f aca="false">G24*H24</f>
        <v>7500</v>
      </c>
      <c r="J24" s="13" t="n">
        <f aca="false">DATE(YEAR(B24),MONTH(B24),1)</f>
        <v>46054</v>
      </c>
    </row>
    <row r="25" customFormat="false" ht="15" hidden="false" customHeight="false" outlineLevel="0" collapsed="false">
      <c r="A25" s="9" t="s">
        <v>65</v>
      </c>
      <c r="B25" s="11" t="n">
        <v>46065</v>
      </c>
      <c r="C25" s="9" t="s">
        <v>31</v>
      </c>
      <c r="D25" s="9" t="s">
        <v>32</v>
      </c>
      <c r="E25" s="9" t="s">
        <v>24</v>
      </c>
      <c r="F25" s="9" t="s">
        <v>49</v>
      </c>
      <c r="G25" s="9" t="n">
        <v>10</v>
      </c>
      <c r="H25" s="12" t="n">
        <v>120</v>
      </c>
      <c r="I25" s="12" t="n">
        <f aca="false">G25*H25</f>
        <v>1200</v>
      </c>
      <c r="J25" s="13" t="n">
        <f aca="false">DATE(YEAR(B25),MONTH(B25),1)</f>
        <v>46054</v>
      </c>
    </row>
    <row r="26" customFormat="false" ht="15" hidden="false" customHeight="false" outlineLevel="0" collapsed="false">
      <c r="A26" s="9" t="s">
        <v>66</v>
      </c>
      <c r="B26" s="11" t="n">
        <v>46133</v>
      </c>
      <c r="C26" s="9" t="s">
        <v>31</v>
      </c>
      <c r="D26" s="9" t="s">
        <v>32</v>
      </c>
      <c r="E26" s="9" t="s">
        <v>38</v>
      </c>
      <c r="F26" s="9" t="s">
        <v>61</v>
      </c>
      <c r="G26" s="9" t="n">
        <v>3</v>
      </c>
      <c r="H26" s="12" t="n">
        <v>9000</v>
      </c>
      <c r="I26" s="12" t="n">
        <f aca="false">G26*H26</f>
        <v>27000</v>
      </c>
      <c r="J26" s="13" t="n">
        <f aca="false">DATE(YEAR(B26),MONTH(B26),1)</f>
        <v>46113</v>
      </c>
    </row>
    <row r="27" customFormat="false" ht="15" hidden="false" customHeight="false" outlineLevel="0" collapsed="false">
      <c r="A27" s="9" t="s">
        <v>67</v>
      </c>
      <c r="B27" s="11" t="n">
        <v>46120</v>
      </c>
      <c r="C27" s="9" t="s">
        <v>36</v>
      </c>
      <c r="D27" s="9" t="s">
        <v>37</v>
      </c>
      <c r="E27" s="9" t="s">
        <v>38</v>
      </c>
      <c r="F27" s="9" t="s">
        <v>54</v>
      </c>
      <c r="G27" s="9" t="n">
        <v>11</v>
      </c>
      <c r="H27" s="12" t="n">
        <v>15000</v>
      </c>
      <c r="I27" s="12" t="n">
        <f aca="false">G27*H27</f>
        <v>165000</v>
      </c>
      <c r="J27" s="13" t="n">
        <f aca="false">DATE(YEAR(B27),MONTH(B27),1)</f>
        <v>46113</v>
      </c>
    </row>
    <row r="28" customFormat="false" ht="15" hidden="false" customHeight="false" outlineLevel="0" collapsed="false">
      <c r="A28" s="9" t="s">
        <v>68</v>
      </c>
      <c r="B28" s="11" t="n">
        <v>46082</v>
      </c>
      <c r="C28" s="9" t="s">
        <v>19</v>
      </c>
      <c r="D28" s="9" t="s">
        <v>20</v>
      </c>
      <c r="E28" s="9" t="s">
        <v>21</v>
      </c>
      <c r="F28" s="9" t="s">
        <v>22</v>
      </c>
      <c r="G28" s="9" t="n">
        <v>2</v>
      </c>
      <c r="H28" s="12" t="n">
        <v>18000</v>
      </c>
      <c r="I28" s="12" t="n">
        <f aca="false">G28*H28</f>
        <v>36000</v>
      </c>
      <c r="J28" s="13" t="n">
        <f aca="false">DATE(YEAR(B28),MONTH(B28),1)</f>
        <v>46082</v>
      </c>
    </row>
    <row r="29" customFormat="false" ht="15" hidden="false" customHeight="false" outlineLevel="0" collapsed="false">
      <c r="A29" s="9" t="s">
        <v>69</v>
      </c>
      <c r="B29" s="11" t="n">
        <v>46090</v>
      </c>
      <c r="C29" s="9" t="s">
        <v>19</v>
      </c>
      <c r="D29" s="9" t="s">
        <v>44</v>
      </c>
      <c r="E29" s="9" t="s">
        <v>24</v>
      </c>
      <c r="F29" s="9" t="s">
        <v>34</v>
      </c>
      <c r="G29" s="9" t="n">
        <v>16</v>
      </c>
      <c r="H29" s="12" t="n">
        <v>600</v>
      </c>
      <c r="I29" s="12" t="n">
        <f aca="false">G29*H29</f>
        <v>9600</v>
      </c>
      <c r="J29" s="13" t="n">
        <f aca="false">DATE(YEAR(B29),MONTH(B29),1)</f>
        <v>46082</v>
      </c>
    </row>
    <row r="30" customFormat="false" ht="15" hidden="false" customHeight="false" outlineLevel="0" collapsed="false">
      <c r="A30" s="9" t="s">
        <v>70</v>
      </c>
      <c r="B30" s="11" t="n">
        <v>46117</v>
      </c>
      <c r="C30" s="9" t="s">
        <v>19</v>
      </c>
      <c r="D30" s="9" t="s">
        <v>44</v>
      </c>
      <c r="E30" s="9" t="s">
        <v>38</v>
      </c>
      <c r="F30" s="9" t="s">
        <v>39</v>
      </c>
      <c r="G30" s="9" t="n">
        <v>9</v>
      </c>
      <c r="H30" s="12" t="n">
        <v>7000</v>
      </c>
      <c r="I30" s="12" t="n">
        <f aca="false">G30*H30</f>
        <v>63000</v>
      </c>
      <c r="J30" s="13" t="n">
        <f aca="false">DATE(YEAR(B30),MONTH(B30),1)</f>
        <v>46113</v>
      </c>
    </row>
    <row r="31" customFormat="false" ht="15" hidden="false" customHeight="false" outlineLevel="0" collapsed="false">
      <c r="A31" s="9" t="s">
        <v>71</v>
      </c>
      <c r="B31" s="11" t="n">
        <v>46190</v>
      </c>
      <c r="C31" s="9" t="s">
        <v>27</v>
      </c>
      <c r="D31" s="9" t="s">
        <v>28</v>
      </c>
      <c r="E31" s="9" t="s">
        <v>24</v>
      </c>
      <c r="F31" s="9" t="s">
        <v>25</v>
      </c>
      <c r="G31" s="9" t="n">
        <v>44</v>
      </c>
      <c r="H31" s="12" t="n">
        <v>350</v>
      </c>
      <c r="I31" s="12" t="n">
        <f aca="false">G31*H31</f>
        <v>15400</v>
      </c>
      <c r="J31" s="13" t="n">
        <f aca="false">DATE(YEAR(B31),MONTH(B31),1)</f>
        <v>46174</v>
      </c>
    </row>
    <row r="32" customFormat="false" ht="15" hidden="false" customHeight="false" outlineLevel="0" collapsed="false">
      <c r="A32" s="9" t="s">
        <v>72</v>
      </c>
      <c r="B32" s="11" t="n">
        <v>46124</v>
      </c>
      <c r="C32" s="9" t="s">
        <v>31</v>
      </c>
      <c r="D32" s="9" t="s">
        <v>32</v>
      </c>
      <c r="E32" s="9" t="s">
        <v>24</v>
      </c>
      <c r="F32" s="9" t="s">
        <v>25</v>
      </c>
      <c r="G32" s="9" t="n">
        <v>30</v>
      </c>
      <c r="H32" s="12" t="n">
        <v>350</v>
      </c>
      <c r="I32" s="12" t="n">
        <f aca="false">G32*H32</f>
        <v>10500</v>
      </c>
      <c r="J32" s="13" t="n">
        <f aca="false">DATE(YEAR(B32),MONTH(B32),1)</f>
        <v>46113</v>
      </c>
    </row>
    <row r="33" customFormat="false" ht="15" hidden="false" customHeight="false" outlineLevel="0" collapsed="false">
      <c r="A33" s="9" t="s">
        <v>73</v>
      </c>
      <c r="B33" s="11" t="n">
        <v>46125</v>
      </c>
      <c r="C33" s="9" t="s">
        <v>31</v>
      </c>
      <c r="D33" s="9" t="s">
        <v>41</v>
      </c>
      <c r="E33" s="9" t="s">
        <v>24</v>
      </c>
      <c r="F33" s="9" t="s">
        <v>49</v>
      </c>
      <c r="G33" s="9" t="n">
        <v>45</v>
      </c>
      <c r="H33" s="12" t="n">
        <v>120</v>
      </c>
      <c r="I33" s="12" t="n">
        <f aca="false">G33*H33</f>
        <v>5400</v>
      </c>
      <c r="J33" s="13" t="n">
        <f aca="false">DATE(YEAR(B33),MONTH(B33),1)</f>
        <v>46113</v>
      </c>
    </row>
    <row r="34" customFormat="false" ht="15" hidden="false" customHeight="false" outlineLevel="0" collapsed="false">
      <c r="A34" s="9" t="s">
        <v>74</v>
      </c>
      <c r="B34" s="11" t="n">
        <v>46064</v>
      </c>
      <c r="C34" s="9" t="s">
        <v>19</v>
      </c>
      <c r="D34" s="9" t="s">
        <v>20</v>
      </c>
      <c r="E34" s="9" t="s">
        <v>21</v>
      </c>
      <c r="F34" s="9" t="s">
        <v>29</v>
      </c>
      <c r="G34" s="9" t="n">
        <v>4</v>
      </c>
      <c r="H34" s="12" t="n">
        <v>2500</v>
      </c>
      <c r="I34" s="12" t="n">
        <f aca="false">G34*H34</f>
        <v>10000</v>
      </c>
      <c r="J34" s="13" t="n">
        <f aca="false">DATE(YEAR(B34),MONTH(B34),1)</f>
        <v>46054</v>
      </c>
    </row>
    <row r="35" customFormat="false" ht="15" hidden="false" customHeight="false" outlineLevel="0" collapsed="false">
      <c r="A35" s="9" t="s">
        <v>75</v>
      </c>
      <c r="B35" s="11" t="n">
        <v>46023</v>
      </c>
      <c r="C35" s="9" t="s">
        <v>19</v>
      </c>
      <c r="D35" s="9" t="s">
        <v>20</v>
      </c>
      <c r="E35" s="9" t="s">
        <v>21</v>
      </c>
      <c r="F35" s="9" t="s">
        <v>76</v>
      </c>
      <c r="G35" s="9" t="n">
        <v>1</v>
      </c>
      <c r="H35" s="12" t="n">
        <v>65000</v>
      </c>
      <c r="I35" s="12" t="n">
        <f aca="false">G35*H35</f>
        <v>65000</v>
      </c>
      <c r="J35" s="13" t="n">
        <f aca="false">DATE(YEAR(B35),MONTH(B35),1)</f>
        <v>46023</v>
      </c>
    </row>
    <row r="36" customFormat="false" ht="15" hidden="false" customHeight="false" outlineLevel="0" collapsed="false">
      <c r="A36" s="9" t="s">
        <v>77</v>
      </c>
      <c r="B36" s="11" t="n">
        <v>46029</v>
      </c>
      <c r="C36" s="9" t="s">
        <v>31</v>
      </c>
      <c r="D36" s="9" t="s">
        <v>41</v>
      </c>
      <c r="E36" s="9" t="s">
        <v>38</v>
      </c>
      <c r="F36" s="9" t="s">
        <v>54</v>
      </c>
      <c r="G36" s="9" t="n">
        <v>10</v>
      </c>
      <c r="H36" s="12" t="n">
        <v>15000</v>
      </c>
      <c r="I36" s="12" t="n">
        <f aca="false">G36*H36</f>
        <v>150000</v>
      </c>
      <c r="J36" s="13" t="n">
        <f aca="false">DATE(YEAR(B36),MONTH(B36),1)</f>
        <v>46023</v>
      </c>
    </row>
    <row r="37" customFormat="false" ht="15" hidden="false" customHeight="false" outlineLevel="0" collapsed="false">
      <c r="A37" s="9" t="s">
        <v>78</v>
      </c>
      <c r="B37" s="11" t="n">
        <v>46061</v>
      </c>
      <c r="C37" s="9" t="s">
        <v>27</v>
      </c>
      <c r="D37" s="9" t="s">
        <v>28</v>
      </c>
      <c r="E37" s="9" t="s">
        <v>24</v>
      </c>
      <c r="F37" s="9" t="s">
        <v>34</v>
      </c>
      <c r="G37" s="9" t="n">
        <v>29</v>
      </c>
      <c r="H37" s="12" t="n">
        <v>600</v>
      </c>
      <c r="I37" s="12" t="n">
        <f aca="false">G37*H37</f>
        <v>17400</v>
      </c>
      <c r="J37" s="13" t="n">
        <f aca="false">DATE(YEAR(B37),MONTH(B37),1)</f>
        <v>46054</v>
      </c>
    </row>
    <row r="38" customFormat="false" ht="15" hidden="false" customHeight="false" outlineLevel="0" collapsed="false">
      <c r="A38" s="9" t="s">
        <v>79</v>
      </c>
      <c r="B38" s="11" t="n">
        <v>46144</v>
      </c>
      <c r="C38" s="9" t="s">
        <v>27</v>
      </c>
      <c r="D38" s="9" t="s">
        <v>28</v>
      </c>
      <c r="E38" s="9" t="s">
        <v>24</v>
      </c>
      <c r="F38" s="9" t="s">
        <v>34</v>
      </c>
      <c r="G38" s="9" t="n">
        <v>28</v>
      </c>
      <c r="H38" s="12" t="n">
        <v>600</v>
      </c>
      <c r="I38" s="12" t="n">
        <f aca="false">G38*H38</f>
        <v>16800</v>
      </c>
      <c r="J38" s="13" t="n">
        <f aca="false">DATE(YEAR(B38),MONTH(B38),1)</f>
        <v>46143</v>
      </c>
    </row>
    <row r="39" customFormat="false" ht="15" hidden="false" customHeight="false" outlineLevel="0" collapsed="false">
      <c r="A39" s="9" t="s">
        <v>80</v>
      </c>
      <c r="B39" s="11" t="n">
        <v>46145</v>
      </c>
      <c r="C39" s="9" t="s">
        <v>19</v>
      </c>
      <c r="D39" s="9" t="s">
        <v>44</v>
      </c>
      <c r="E39" s="9" t="s">
        <v>24</v>
      </c>
      <c r="F39" s="9" t="s">
        <v>49</v>
      </c>
      <c r="G39" s="9" t="n">
        <v>34</v>
      </c>
      <c r="H39" s="12" t="n">
        <v>120</v>
      </c>
      <c r="I39" s="12" t="n">
        <f aca="false">G39*H39</f>
        <v>4080</v>
      </c>
      <c r="J39" s="13" t="n">
        <f aca="false">DATE(YEAR(B39),MONTH(B39),1)</f>
        <v>46143</v>
      </c>
    </row>
    <row r="40" customFormat="false" ht="15" hidden="false" customHeight="false" outlineLevel="0" collapsed="false">
      <c r="A40" s="9" t="s">
        <v>81</v>
      </c>
      <c r="B40" s="11" t="n">
        <v>46110</v>
      </c>
      <c r="C40" s="9" t="s">
        <v>19</v>
      </c>
      <c r="D40" s="9" t="s">
        <v>44</v>
      </c>
      <c r="E40" s="9" t="s">
        <v>21</v>
      </c>
      <c r="F40" s="9" t="s">
        <v>22</v>
      </c>
      <c r="G40" s="9" t="n">
        <v>1</v>
      </c>
      <c r="H40" s="12" t="n">
        <v>18000</v>
      </c>
      <c r="I40" s="12" t="n">
        <f aca="false">G40*H40</f>
        <v>18000</v>
      </c>
      <c r="J40" s="13" t="n">
        <f aca="false">DATE(YEAR(B40),MONTH(B40),1)</f>
        <v>46082</v>
      </c>
    </row>
    <row r="41" customFormat="false" ht="15" hidden="false" customHeight="false" outlineLevel="0" collapsed="false">
      <c r="A41" s="9" t="s">
        <v>82</v>
      </c>
      <c r="B41" s="11" t="n">
        <v>46028</v>
      </c>
      <c r="C41" s="9" t="s">
        <v>31</v>
      </c>
      <c r="D41" s="9" t="s">
        <v>41</v>
      </c>
      <c r="E41" s="9" t="s">
        <v>21</v>
      </c>
      <c r="F41" s="9" t="s">
        <v>22</v>
      </c>
      <c r="G41" s="9" t="n">
        <v>5</v>
      </c>
      <c r="H41" s="12" t="n">
        <v>18000</v>
      </c>
      <c r="I41" s="12" t="n">
        <f aca="false">G41*H41</f>
        <v>90000</v>
      </c>
      <c r="J41" s="13" t="n">
        <f aca="false">DATE(YEAR(B41),MONTH(B41),1)</f>
        <v>46023</v>
      </c>
    </row>
    <row r="42" customFormat="false" ht="15" hidden="false" customHeight="false" outlineLevel="0" collapsed="false">
      <c r="A42" s="9" t="s">
        <v>83</v>
      </c>
      <c r="B42" s="11" t="n">
        <v>46060</v>
      </c>
      <c r="C42" s="9" t="s">
        <v>27</v>
      </c>
      <c r="D42" s="9" t="s">
        <v>28</v>
      </c>
      <c r="E42" s="9" t="s">
        <v>24</v>
      </c>
      <c r="F42" s="9" t="s">
        <v>25</v>
      </c>
      <c r="G42" s="9" t="n">
        <v>28</v>
      </c>
      <c r="H42" s="12" t="n">
        <v>350</v>
      </c>
      <c r="I42" s="12" t="n">
        <f aca="false">G42*H42</f>
        <v>9800</v>
      </c>
      <c r="J42" s="13" t="n">
        <f aca="false">DATE(YEAR(B42),MONTH(B42),1)</f>
        <v>46054</v>
      </c>
    </row>
    <row r="43" customFormat="false" ht="15" hidden="false" customHeight="false" outlineLevel="0" collapsed="false">
      <c r="A43" s="9" t="s">
        <v>84</v>
      </c>
      <c r="B43" s="11" t="n">
        <v>46046</v>
      </c>
      <c r="C43" s="9" t="s">
        <v>51</v>
      </c>
      <c r="D43" s="9" t="s">
        <v>52</v>
      </c>
      <c r="E43" s="9" t="s">
        <v>38</v>
      </c>
      <c r="F43" s="9" t="s">
        <v>61</v>
      </c>
      <c r="G43" s="9" t="n">
        <v>11</v>
      </c>
      <c r="H43" s="12" t="n">
        <v>9000</v>
      </c>
      <c r="I43" s="12" t="n">
        <f aca="false">G43*H43</f>
        <v>99000</v>
      </c>
      <c r="J43" s="13" t="n">
        <f aca="false">DATE(YEAR(B43),MONTH(B43),1)</f>
        <v>46023</v>
      </c>
    </row>
    <row r="44" customFormat="false" ht="15" hidden="false" customHeight="false" outlineLevel="0" collapsed="false">
      <c r="A44" s="9" t="s">
        <v>85</v>
      </c>
      <c r="B44" s="11" t="n">
        <v>46080</v>
      </c>
      <c r="C44" s="9" t="s">
        <v>31</v>
      </c>
      <c r="D44" s="9" t="s">
        <v>32</v>
      </c>
      <c r="E44" s="9" t="s">
        <v>21</v>
      </c>
      <c r="F44" s="9" t="s">
        <v>22</v>
      </c>
      <c r="G44" s="9" t="n">
        <v>3</v>
      </c>
      <c r="H44" s="12" t="n">
        <v>18000</v>
      </c>
      <c r="I44" s="12" t="n">
        <f aca="false">G44*H44</f>
        <v>54000</v>
      </c>
      <c r="J44" s="13" t="n">
        <f aca="false">DATE(YEAR(B44),MONTH(B44),1)</f>
        <v>46054</v>
      </c>
    </row>
    <row r="45" customFormat="false" ht="15" hidden="false" customHeight="false" outlineLevel="0" collapsed="false">
      <c r="A45" s="9" t="s">
        <v>86</v>
      </c>
      <c r="B45" s="11" t="n">
        <v>46072</v>
      </c>
      <c r="C45" s="9" t="s">
        <v>36</v>
      </c>
      <c r="D45" s="9" t="s">
        <v>37</v>
      </c>
      <c r="E45" s="9" t="s">
        <v>24</v>
      </c>
      <c r="F45" s="9" t="s">
        <v>34</v>
      </c>
      <c r="G45" s="9" t="n">
        <v>56</v>
      </c>
      <c r="H45" s="12" t="n">
        <v>600</v>
      </c>
      <c r="I45" s="12" t="n">
        <f aca="false">G45*H45</f>
        <v>33600</v>
      </c>
      <c r="J45" s="13" t="n">
        <f aca="false">DATE(YEAR(B45),MONTH(B45),1)</f>
        <v>46054</v>
      </c>
    </row>
    <row r="46" customFormat="false" ht="15" hidden="false" customHeight="false" outlineLevel="0" collapsed="false">
      <c r="A46" s="9" t="s">
        <v>87</v>
      </c>
      <c r="B46" s="11" t="n">
        <v>46155</v>
      </c>
      <c r="C46" s="9" t="s">
        <v>51</v>
      </c>
      <c r="D46" s="9" t="s">
        <v>52</v>
      </c>
      <c r="E46" s="9" t="s">
        <v>21</v>
      </c>
      <c r="F46" s="9" t="s">
        <v>29</v>
      </c>
      <c r="G46" s="9" t="n">
        <v>2</v>
      </c>
      <c r="H46" s="12" t="n">
        <v>2500</v>
      </c>
      <c r="I46" s="12" t="n">
        <f aca="false">G46*H46</f>
        <v>5000</v>
      </c>
      <c r="J46" s="13" t="n">
        <f aca="false">DATE(YEAR(B46),MONTH(B46),1)</f>
        <v>46143</v>
      </c>
    </row>
    <row r="47" customFormat="false" ht="15" hidden="false" customHeight="false" outlineLevel="0" collapsed="false">
      <c r="A47" s="9" t="s">
        <v>88</v>
      </c>
      <c r="B47" s="11" t="n">
        <v>46094</v>
      </c>
      <c r="C47" s="9" t="s">
        <v>31</v>
      </c>
      <c r="D47" s="9" t="s">
        <v>32</v>
      </c>
      <c r="E47" s="9" t="s">
        <v>21</v>
      </c>
      <c r="F47" s="9" t="s">
        <v>76</v>
      </c>
      <c r="G47" s="9" t="n">
        <v>1</v>
      </c>
      <c r="H47" s="12" t="n">
        <v>65000</v>
      </c>
      <c r="I47" s="12" t="n">
        <f aca="false">G47*H47</f>
        <v>65000</v>
      </c>
      <c r="J47" s="13" t="n">
        <f aca="false">DATE(YEAR(B47),MONTH(B47),1)</f>
        <v>46082</v>
      </c>
    </row>
    <row r="48" customFormat="false" ht="15" hidden="false" customHeight="false" outlineLevel="0" collapsed="false">
      <c r="A48" s="9" t="s">
        <v>89</v>
      </c>
      <c r="B48" s="11" t="n">
        <v>46137</v>
      </c>
      <c r="C48" s="9" t="s">
        <v>19</v>
      </c>
      <c r="D48" s="9" t="s">
        <v>44</v>
      </c>
      <c r="E48" s="9" t="s">
        <v>24</v>
      </c>
      <c r="F48" s="9" t="s">
        <v>34</v>
      </c>
      <c r="G48" s="9" t="n">
        <v>27</v>
      </c>
      <c r="H48" s="12" t="n">
        <v>600</v>
      </c>
      <c r="I48" s="12" t="n">
        <f aca="false">G48*H48</f>
        <v>16200</v>
      </c>
      <c r="J48" s="13" t="n">
        <f aca="false">DATE(YEAR(B48),MONTH(B48),1)</f>
        <v>46113</v>
      </c>
    </row>
    <row r="49" customFormat="false" ht="15" hidden="false" customHeight="false" outlineLevel="0" collapsed="false">
      <c r="A49" s="9" t="s">
        <v>90</v>
      </c>
      <c r="B49" s="11" t="n">
        <v>46079</v>
      </c>
      <c r="C49" s="9" t="s">
        <v>27</v>
      </c>
      <c r="D49" s="9" t="s">
        <v>28</v>
      </c>
      <c r="E49" s="9" t="s">
        <v>38</v>
      </c>
      <c r="F49" s="9" t="s">
        <v>54</v>
      </c>
      <c r="G49" s="9" t="n">
        <v>2</v>
      </c>
      <c r="H49" s="12" t="n">
        <v>15000</v>
      </c>
      <c r="I49" s="12" t="n">
        <f aca="false">G49*H49</f>
        <v>30000</v>
      </c>
      <c r="J49" s="13" t="n">
        <f aca="false">DATE(YEAR(B49),MONTH(B49),1)</f>
        <v>46054</v>
      </c>
    </row>
    <row r="50" customFormat="false" ht="15" hidden="false" customHeight="false" outlineLevel="0" collapsed="false">
      <c r="A50" s="9" t="s">
        <v>91</v>
      </c>
      <c r="B50" s="11" t="n">
        <v>46075</v>
      </c>
      <c r="C50" s="9" t="s">
        <v>19</v>
      </c>
      <c r="D50" s="9" t="s">
        <v>44</v>
      </c>
      <c r="E50" s="9" t="s">
        <v>21</v>
      </c>
      <c r="F50" s="9" t="s">
        <v>29</v>
      </c>
      <c r="G50" s="9" t="n">
        <v>3</v>
      </c>
      <c r="H50" s="12" t="n">
        <v>2500</v>
      </c>
      <c r="I50" s="12" t="n">
        <f aca="false">G50*H50</f>
        <v>7500</v>
      </c>
      <c r="J50" s="13" t="n">
        <f aca="false">DATE(YEAR(B50),MONTH(B50),1)</f>
        <v>46054</v>
      </c>
    </row>
    <row r="51" customFormat="false" ht="15" hidden="false" customHeight="false" outlineLevel="0" collapsed="false">
      <c r="A51" s="9" t="s">
        <v>92</v>
      </c>
      <c r="B51" s="11" t="n">
        <v>46023</v>
      </c>
      <c r="C51" s="9" t="s">
        <v>36</v>
      </c>
      <c r="D51" s="9" t="s">
        <v>37</v>
      </c>
      <c r="E51" s="9" t="s">
        <v>24</v>
      </c>
      <c r="F51" s="9" t="s">
        <v>34</v>
      </c>
      <c r="G51" s="9" t="n">
        <v>58</v>
      </c>
      <c r="H51" s="12" t="n">
        <v>600</v>
      </c>
      <c r="I51" s="12" t="n">
        <f aca="false">G51*H51</f>
        <v>34800</v>
      </c>
      <c r="J51" s="13" t="n">
        <f aca="false">DATE(YEAR(B51),MONTH(B51),1)</f>
        <v>46023</v>
      </c>
    </row>
    <row r="52" customFormat="false" ht="15" hidden="false" customHeight="false" outlineLevel="0" collapsed="false">
      <c r="A52" s="9" t="s">
        <v>93</v>
      </c>
      <c r="B52" s="11" t="n">
        <v>46044</v>
      </c>
      <c r="C52" s="9" t="s">
        <v>27</v>
      </c>
      <c r="D52" s="9" t="s">
        <v>28</v>
      </c>
      <c r="E52" s="9" t="s">
        <v>38</v>
      </c>
      <c r="F52" s="9" t="s">
        <v>54</v>
      </c>
      <c r="G52" s="9" t="n">
        <v>11</v>
      </c>
      <c r="H52" s="12" t="n">
        <v>15000</v>
      </c>
      <c r="I52" s="12" t="n">
        <f aca="false">G52*H52</f>
        <v>165000</v>
      </c>
      <c r="J52" s="13" t="n">
        <f aca="false">DATE(YEAR(B52),MONTH(B52),1)</f>
        <v>46023</v>
      </c>
    </row>
    <row r="53" customFormat="false" ht="15" hidden="false" customHeight="false" outlineLevel="0" collapsed="false">
      <c r="A53" s="9" t="s">
        <v>94</v>
      </c>
      <c r="B53" s="11" t="n">
        <v>46068</v>
      </c>
      <c r="C53" s="9" t="s">
        <v>27</v>
      </c>
      <c r="D53" s="9" t="s">
        <v>28</v>
      </c>
      <c r="E53" s="9" t="s">
        <v>21</v>
      </c>
      <c r="F53" s="9" t="s">
        <v>29</v>
      </c>
      <c r="G53" s="9" t="n">
        <v>4</v>
      </c>
      <c r="H53" s="12" t="n">
        <v>2500</v>
      </c>
      <c r="I53" s="12" t="n">
        <f aca="false">G53*H53</f>
        <v>10000</v>
      </c>
      <c r="J53" s="13" t="n">
        <f aca="false">DATE(YEAR(B53),MONTH(B53),1)</f>
        <v>46054</v>
      </c>
    </row>
    <row r="54" customFormat="false" ht="15" hidden="false" customHeight="false" outlineLevel="0" collapsed="false">
      <c r="A54" s="9" t="s">
        <v>95</v>
      </c>
      <c r="B54" s="11" t="n">
        <v>46124</v>
      </c>
      <c r="C54" s="9" t="s">
        <v>51</v>
      </c>
      <c r="D54" s="9" t="s">
        <v>52</v>
      </c>
      <c r="E54" s="9" t="s">
        <v>38</v>
      </c>
      <c r="F54" s="9" t="s">
        <v>54</v>
      </c>
      <c r="G54" s="9" t="n">
        <v>2</v>
      </c>
      <c r="H54" s="12" t="n">
        <v>15000</v>
      </c>
      <c r="I54" s="12" t="n">
        <f aca="false">G54*H54</f>
        <v>30000</v>
      </c>
      <c r="J54" s="13" t="n">
        <f aca="false">DATE(YEAR(B54),MONTH(B54),1)</f>
        <v>46113</v>
      </c>
    </row>
    <row r="55" customFormat="false" ht="15" hidden="false" customHeight="false" outlineLevel="0" collapsed="false">
      <c r="A55" s="9" t="s">
        <v>96</v>
      </c>
      <c r="B55" s="11" t="n">
        <v>46066</v>
      </c>
      <c r="C55" s="9" t="s">
        <v>31</v>
      </c>
      <c r="D55" s="9" t="s">
        <v>41</v>
      </c>
      <c r="E55" s="9" t="s">
        <v>21</v>
      </c>
      <c r="F55" s="9" t="s">
        <v>46</v>
      </c>
      <c r="G55" s="9" t="n">
        <v>2</v>
      </c>
      <c r="H55" s="12" t="n">
        <v>25000</v>
      </c>
      <c r="I55" s="12" t="n">
        <f aca="false">G55*H55</f>
        <v>50000</v>
      </c>
      <c r="J55" s="13" t="n">
        <f aca="false">DATE(YEAR(B55),MONTH(B55),1)</f>
        <v>46054</v>
      </c>
    </row>
    <row r="56" customFormat="false" ht="15" hidden="false" customHeight="false" outlineLevel="0" collapsed="false">
      <c r="A56" s="9" t="s">
        <v>97</v>
      </c>
      <c r="B56" s="11" t="n">
        <v>46190</v>
      </c>
      <c r="C56" s="9" t="s">
        <v>19</v>
      </c>
      <c r="D56" s="9" t="s">
        <v>20</v>
      </c>
      <c r="E56" s="9" t="s">
        <v>24</v>
      </c>
      <c r="F56" s="9" t="s">
        <v>34</v>
      </c>
      <c r="G56" s="9" t="n">
        <v>34</v>
      </c>
      <c r="H56" s="12" t="n">
        <v>600</v>
      </c>
      <c r="I56" s="12" t="n">
        <f aca="false">G56*H56</f>
        <v>20400</v>
      </c>
      <c r="J56" s="13" t="n">
        <f aca="false">DATE(YEAR(B56),MONTH(B56),1)</f>
        <v>46174</v>
      </c>
    </row>
    <row r="57" customFormat="false" ht="15" hidden="false" customHeight="false" outlineLevel="0" collapsed="false">
      <c r="A57" s="9" t="s">
        <v>98</v>
      </c>
      <c r="B57" s="11" t="n">
        <v>46191</v>
      </c>
      <c r="C57" s="9" t="s">
        <v>36</v>
      </c>
      <c r="D57" s="9" t="s">
        <v>37</v>
      </c>
      <c r="E57" s="9" t="s">
        <v>24</v>
      </c>
      <c r="F57" s="9" t="s">
        <v>34</v>
      </c>
      <c r="G57" s="9" t="n">
        <v>35</v>
      </c>
      <c r="H57" s="12" t="n">
        <v>600</v>
      </c>
      <c r="I57" s="12" t="n">
        <f aca="false">G57*H57</f>
        <v>21000</v>
      </c>
      <c r="J57" s="13" t="n">
        <f aca="false">DATE(YEAR(B57),MONTH(B57),1)</f>
        <v>46174</v>
      </c>
    </row>
    <row r="58" customFormat="false" ht="15" hidden="false" customHeight="false" outlineLevel="0" collapsed="false">
      <c r="A58" s="9" t="s">
        <v>99</v>
      </c>
      <c r="B58" s="11" t="n">
        <v>46028</v>
      </c>
      <c r="C58" s="9" t="s">
        <v>19</v>
      </c>
      <c r="D58" s="9" t="s">
        <v>20</v>
      </c>
      <c r="E58" s="9" t="s">
        <v>24</v>
      </c>
      <c r="F58" s="9" t="s">
        <v>25</v>
      </c>
      <c r="G58" s="9" t="n">
        <v>13</v>
      </c>
      <c r="H58" s="12" t="n">
        <v>350</v>
      </c>
      <c r="I58" s="12" t="n">
        <f aca="false">G58*H58</f>
        <v>4550</v>
      </c>
      <c r="J58" s="13" t="n">
        <f aca="false">DATE(YEAR(B58),MONTH(B58),1)</f>
        <v>46023</v>
      </c>
    </row>
    <row r="59" customFormat="false" ht="15" hidden="false" customHeight="false" outlineLevel="0" collapsed="false">
      <c r="A59" s="9" t="s">
        <v>100</v>
      </c>
      <c r="B59" s="11" t="n">
        <v>46058</v>
      </c>
      <c r="C59" s="9" t="s">
        <v>51</v>
      </c>
      <c r="D59" s="9" t="s">
        <v>52</v>
      </c>
      <c r="E59" s="9" t="s">
        <v>21</v>
      </c>
      <c r="F59" s="9" t="s">
        <v>46</v>
      </c>
      <c r="G59" s="9" t="n">
        <v>5</v>
      </c>
      <c r="H59" s="12" t="n">
        <v>25000</v>
      </c>
      <c r="I59" s="12" t="n">
        <f aca="false">G59*H59</f>
        <v>125000</v>
      </c>
      <c r="J59" s="13" t="n">
        <f aca="false">DATE(YEAR(B59),MONTH(B59),1)</f>
        <v>46054</v>
      </c>
    </row>
    <row r="60" customFormat="false" ht="15" hidden="false" customHeight="false" outlineLevel="0" collapsed="false">
      <c r="A60" s="9" t="s">
        <v>101</v>
      </c>
      <c r="B60" s="11" t="n">
        <v>46030</v>
      </c>
      <c r="C60" s="9" t="s">
        <v>27</v>
      </c>
      <c r="D60" s="9" t="s">
        <v>28</v>
      </c>
      <c r="E60" s="9" t="s">
        <v>21</v>
      </c>
      <c r="F60" s="9" t="s">
        <v>29</v>
      </c>
      <c r="G60" s="9" t="n">
        <v>2</v>
      </c>
      <c r="H60" s="12" t="n">
        <v>2500</v>
      </c>
      <c r="I60" s="12" t="n">
        <f aca="false">G60*H60</f>
        <v>5000</v>
      </c>
      <c r="J60" s="13" t="n">
        <f aca="false">DATE(YEAR(B60),MONTH(B60),1)</f>
        <v>46023</v>
      </c>
    </row>
    <row r="61" customFormat="false" ht="15" hidden="false" customHeight="false" outlineLevel="0" collapsed="false">
      <c r="A61" s="9" t="s">
        <v>102</v>
      </c>
      <c r="B61" s="11" t="n">
        <v>46173</v>
      </c>
      <c r="C61" s="9" t="s">
        <v>19</v>
      </c>
      <c r="D61" s="9" t="s">
        <v>44</v>
      </c>
      <c r="E61" s="9" t="s">
        <v>24</v>
      </c>
      <c r="F61" s="9" t="s">
        <v>25</v>
      </c>
      <c r="G61" s="9" t="n">
        <v>20</v>
      </c>
      <c r="H61" s="12" t="n">
        <v>350</v>
      </c>
      <c r="I61" s="12" t="n">
        <f aca="false">G61*H61</f>
        <v>7000</v>
      </c>
      <c r="J61" s="13" t="n">
        <f aca="false">DATE(YEAR(B61),MONTH(B61),1)</f>
        <v>46143</v>
      </c>
    </row>
    <row r="62" customFormat="false" ht="15" hidden="false" customHeight="false" outlineLevel="0" collapsed="false">
      <c r="A62" s="9" t="s">
        <v>103</v>
      </c>
      <c r="B62" s="11" t="n">
        <v>46038</v>
      </c>
      <c r="C62" s="9" t="s">
        <v>19</v>
      </c>
      <c r="D62" s="9" t="s">
        <v>44</v>
      </c>
      <c r="E62" s="9" t="s">
        <v>38</v>
      </c>
      <c r="F62" s="9" t="s">
        <v>39</v>
      </c>
      <c r="G62" s="9" t="n">
        <v>3</v>
      </c>
      <c r="H62" s="12" t="n">
        <v>7000</v>
      </c>
      <c r="I62" s="12" t="n">
        <f aca="false">G62*H62</f>
        <v>21000</v>
      </c>
      <c r="J62" s="13" t="n">
        <f aca="false">DATE(YEAR(B62),MONTH(B62),1)</f>
        <v>46023</v>
      </c>
    </row>
    <row r="63" customFormat="false" ht="15" hidden="false" customHeight="false" outlineLevel="0" collapsed="false">
      <c r="A63" s="9" t="s">
        <v>104</v>
      </c>
      <c r="B63" s="11" t="n">
        <v>46155</v>
      </c>
      <c r="C63" s="9" t="s">
        <v>27</v>
      </c>
      <c r="D63" s="9" t="s">
        <v>28</v>
      </c>
      <c r="E63" s="9" t="s">
        <v>24</v>
      </c>
      <c r="F63" s="9" t="s">
        <v>34</v>
      </c>
      <c r="G63" s="9" t="n">
        <v>57</v>
      </c>
      <c r="H63" s="12" t="n">
        <v>600</v>
      </c>
      <c r="I63" s="12" t="n">
        <f aca="false">G63*H63</f>
        <v>34200</v>
      </c>
      <c r="J63" s="13" t="n">
        <f aca="false">DATE(YEAR(B63),MONTH(B63),1)</f>
        <v>46143</v>
      </c>
    </row>
    <row r="64" customFormat="false" ht="15" hidden="false" customHeight="false" outlineLevel="0" collapsed="false">
      <c r="A64" s="9" t="s">
        <v>105</v>
      </c>
      <c r="B64" s="11" t="n">
        <v>46159</v>
      </c>
      <c r="C64" s="9" t="s">
        <v>51</v>
      </c>
      <c r="D64" s="9" t="s">
        <v>52</v>
      </c>
      <c r="E64" s="9" t="s">
        <v>24</v>
      </c>
      <c r="F64" s="9" t="s">
        <v>25</v>
      </c>
      <c r="G64" s="9" t="n">
        <v>13</v>
      </c>
      <c r="H64" s="12" t="n">
        <v>350</v>
      </c>
      <c r="I64" s="12" t="n">
        <f aca="false">G64*H64</f>
        <v>4550</v>
      </c>
      <c r="J64" s="13" t="n">
        <f aca="false">DATE(YEAR(B64),MONTH(B64),1)</f>
        <v>46143</v>
      </c>
    </row>
    <row r="65" customFormat="false" ht="15" hidden="false" customHeight="false" outlineLevel="0" collapsed="false">
      <c r="A65" s="9" t="s">
        <v>106</v>
      </c>
      <c r="B65" s="11" t="n">
        <v>46069</v>
      </c>
      <c r="C65" s="9" t="s">
        <v>31</v>
      </c>
      <c r="D65" s="9" t="s">
        <v>41</v>
      </c>
      <c r="E65" s="9" t="s">
        <v>21</v>
      </c>
      <c r="F65" s="9" t="s">
        <v>76</v>
      </c>
      <c r="G65" s="9" t="n">
        <v>4</v>
      </c>
      <c r="H65" s="12" t="n">
        <v>65000</v>
      </c>
      <c r="I65" s="12" t="n">
        <f aca="false">G65*H65</f>
        <v>260000</v>
      </c>
      <c r="J65" s="13" t="n">
        <f aca="false">DATE(YEAR(B65),MONTH(B65),1)</f>
        <v>46054</v>
      </c>
    </row>
    <row r="66" customFormat="false" ht="15" hidden="false" customHeight="false" outlineLevel="0" collapsed="false">
      <c r="A66" s="9" t="s">
        <v>107</v>
      </c>
      <c r="B66" s="11" t="n">
        <v>46059</v>
      </c>
      <c r="C66" s="9" t="s">
        <v>51</v>
      </c>
      <c r="D66" s="9" t="s">
        <v>52</v>
      </c>
      <c r="E66" s="9" t="s">
        <v>21</v>
      </c>
      <c r="F66" s="9" t="s">
        <v>22</v>
      </c>
      <c r="G66" s="9" t="n">
        <v>2</v>
      </c>
      <c r="H66" s="12" t="n">
        <v>18000</v>
      </c>
      <c r="I66" s="12" t="n">
        <f aca="false">G66*H66</f>
        <v>36000</v>
      </c>
      <c r="J66" s="13" t="n">
        <f aca="false">DATE(YEAR(B66),MONTH(B66),1)</f>
        <v>46054</v>
      </c>
    </row>
    <row r="67" customFormat="false" ht="15" hidden="false" customHeight="false" outlineLevel="0" collapsed="false">
      <c r="A67" s="9" t="s">
        <v>108</v>
      </c>
      <c r="B67" s="11" t="n">
        <v>46038</v>
      </c>
      <c r="C67" s="9" t="s">
        <v>36</v>
      </c>
      <c r="D67" s="9" t="s">
        <v>37</v>
      </c>
      <c r="E67" s="9" t="s">
        <v>21</v>
      </c>
      <c r="F67" s="9" t="s">
        <v>46</v>
      </c>
      <c r="G67" s="9" t="n">
        <v>5</v>
      </c>
      <c r="H67" s="12" t="n">
        <v>25000</v>
      </c>
      <c r="I67" s="12" t="n">
        <f aca="false">G67*H67</f>
        <v>125000</v>
      </c>
      <c r="J67" s="13" t="n">
        <f aca="false">DATE(YEAR(B67),MONTH(B67),1)</f>
        <v>46023</v>
      </c>
    </row>
    <row r="68" customFormat="false" ht="15" hidden="false" customHeight="false" outlineLevel="0" collapsed="false">
      <c r="A68" s="9" t="s">
        <v>109</v>
      </c>
      <c r="B68" s="11" t="n">
        <v>46146</v>
      </c>
      <c r="C68" s="9" t="s">
        <v>36</v>
      </c>
      <c r="D68" s="9" t="s">
        <v>37</v>
      </c>
      <c r="E68" s="9" t="s">
        <v>24</v>
      </c>
      <c r="F68" s="9" t="s">
        <v>25</v>
      </c>
      <c r="G68" s="9" t="n">
        <v>40</v>
      </c>
      <c r="H68" s="12" t="n">
        <v>350</v>
      </c>
      <c r="I68" s="12" t="n">
        <f aca="false">G68*H68</f>
        <v>14000</v>
      </c>
      <c r="J68" s="13" t="n">
        <f aca="false">DATE(YEAR(B68),MONTH(B68),1)</f>
        <v>46143</v>
      </c>
    </row>
    <row r="69" customFormat="false" ht="15" hidden="false" customHeight="false" outlineLevel="0" collapsed="false">
      <c r="A69" s="9" t="s">
        <v>110</v>
      </c>
      <c r="B69" s="11" t="n">
        <v>46071</v>
      </c>
      <c r="C69" s="9" t="s">
        <v>27</v>
      </c>
      <c r="D69" s="9" t="s">
        <v>28</v>
      </c>
      <c r="E69" s="9" t="s">
        <v>21</v>
      </c>
      <c r="F69" s="9" t="s">
        <v>76</v>
      </c>
      <c r="G69" s="9" t="n">
        <v>2</v>
      </c>
      <c r="H69" s="12" t="n">
        <v>65000</v>
      </c>
      <c r="I69" s="12" t="n">
        <f aca="false">G69*H69</f>
        <v>130000</v>
      </c>
      <c r="J69" s="13" t="n">
        <f aca="false">DATE(YEAR(B69),MONTH(B69),1)</f>
        <v>46054</v>
      </c>
    </row>
    <row r="70" customFormat="false" ht="15" hidden="false" customHeight="false" outlineLevel="0" collapsed="false">
      <c r="A70" s="9" t="s">
        <v>111</v>
      </c>
      <c r="B70" s="11" t="n">
        <v>46138</v>
      </c>
      <c r="C70" s="9" t="s">
        <v>19</v>
      </c>
      <c r="D70" s="9" t="s">
        <v>20</v>
      </c>
      <c r="E70" s="9" t="s">
        <v>21</v>
      </c>
      <c r="F70" s="9" t="s">
        <v>46</v>
      </c>
      <c r="G70" s="9" t="n">
        <v>5</v>
      </c>
      <c r="H70" s="12" t="n">
        <v>25000</v>
      </c>
      <c r="I70" s="12" t="n">
        <f aca="false">G70*H70</f>
        <v>125000</v>
      </c>
      <c r="J70" s="13" t="n">
        <f aca="false">DATE(YEAR(B70),MONTH(B70),1)</f>
        <v>46113</v>
      </c>
    </row>
    <row r="71" customFormat="false" ht="15" hidden="false" customHeight="false" outlineLevel="0" collapsed="false">
      <c r="A71" s="9" t="s">
        <v>112</v>
      </c>
      <c r="B71" s="11" t="n">
        <v>46106</v>
      </c>
      <c r="C71" s="9" t="s">
        <v>51</v>
      </c>
      <c r="D71" s="9" t="s">
        <v>52</v>
      </c>
      <c r="E71" s="9" t="s">
        <v>21</v>
      </c>
      <c r="F71" s="9" t="s">
        <v>46</v>
      </c>
      <c r="G71" s="9" t="n">
        <v>4</v>
      </c>
      <c r="H71" s="12" t="n">
        <v>25000</v>
      </c>
      <c r="I71" s="12" t="n">
        <f aca="false">G71*H71</f>
        <v>100000</v>
      </c>
      <c r="J71" s="13" t="n">
        <f aca="false">DATE(YEAR(B71),MONTH(B71),1)</f>
        <v>46082</v>
      </c>
    </row>
    <row r="72" customFormat="false" ht="15" hidden="false" customHeight="false" outlineLevel="0" collapsed="false">
      <c r="A72" s="9" t="s">
        <v>113</v>
      </c>
      <c r="B72" s="11" t="n">
        <v>46159</v>
      </c>
      <c r="C72" s="9" t="s">
        <v>36</v>
      </c>
      <c r="D72" s="9" t="s">
        <v>37</v>
      </c>
      <c r="E72" s="9" t="s">
        <v>24</v>
      </c>
      <c r="F72" s="9" t="s">
        <v>49</v>
      </c>
      <c r="G72" s="9" t="n">
        <v>37</v>
      </c>
      <c r="H72" s="12" t="n">
        <v>120</v>
      </c>
      <c r="I72" s="12" t="n">
        <f aca="false">G72*H72</f>
        <v>4440</v>
      </c>
      <c r="J72" s="13" t="n">
        <f aca="false">DATE(YEAR(B72),MONTH(B72),1)</f>
        <v>46143</v>
      </c>
    </row>
    <row r="73" customFormat="false" ht="15" hidden="false" customHeight="false" outlineLevel="0" collapsed="false">
      <c r="A73" s="9" t="s">
        <v>114</v>
      </c>
      <c r="B73" s="11" t="n">
        <v>46089</v>
      </c>
      <c r="C73" s="9" t="s">
        <v>31</v>
      </c>
      <c r="D73" s="9" t="s">
        <v>41</v>
      </c>
      <c r="E73" s="9" t="s">
        <v>21</v>
      </c>
      <c r="F73" s="9" t="s">
        <v>29</v>
      </c>
      <c r="G73" s="9" t="n">
        <v>5</v>
      </c>
      <c r="H73" s="12" t="n">
        <v>2500</v>
      </c>
      <c r="I73" s="12" t="n">
        <f aca="false">G73*H73</f>
        <v>12500</v>
      </c>
      <c r="J73" s="13" t="n">
        <f aca="false">DATE(YEAR(B73),MONTH(B73),1)</f>
        <v>46082</v>
      </c>
    </row>
    <row r="74" customFormat="false" ht="15" hidden="false" customHeight="false" outlineLevel="0" collapsed="false">
      <c r="A74" s="9" t="s">
        <v>115</v>
      </c>
      <c r="B74" s="11" t="n">
        <v>46054</v>
      </c>
      <c r="C74" s="9" t="s">
        <v>51</v>
      </c>
      <c r="D74" s="9" t="s">
        <v>52</v>
      </c>
      <c r="E74" s="9" t="s">
        <v>21</v>
      </c>
      <c r="F74" s="9" t="s">
        <v>22</v>
      </c>
      <c r="G74" s="9" t="n">
        <v>4</v>
      </c>
      <c r="H74" s="12" t="n">
        <v>18000</v>
      </c>
      <c r="I74" s="12" t="n">
        <f aca="false">G74*H74</f>
        <v>72000</v>
      </c>
      <c r="J74" s="13" t="n">
        <f aca="false">DATE(YEAR(B74),MONTH(B74),1)</f>
        <v>46054</v>
      </c>
    </row>
    <row r="75" customFormat="false" ht="15" hidden="false" customHeight="false" outlineLevel="0" collapsed="false">
      <c r="A75" s="9" t="s">
        <v>116</v>
      </c>
      <c r="B75" s="11" t="n">
        <v>46132</v>
      </c>
      <c r="C75" s="9" t="s">
        <v>31</v>
      </c>
      <c r="D75" s="9" t="s">
        <v>41</v>
      </c>
      <c r="E75" s="9" t="s">
        <v>21</v>
      </c>
      <c r="F75" s="9" t="s">
        <v>46</v>
      </c>
      <c r="G75" s="9" t="n">
        <v>2</v>
      </c>
      <c r="H75" s="12" t="n">
        <v>25000</v>
      </c>
      <c r="I75" s="12" t="n">
        <f aca="false">G75*H75</f>
        <v>50000</v>
      </c>
      <c r="J75" s="13" t="n">
        <f aca="false">DATE(YEAR(B75),MONTH(B75),1)</f>
        <v>46113</v>
      </c>
    </row>
    <row r="76" customFormat="false" ht="15" hidden="false" customHeight="false" outlineLevel="0" collapsed="false">
      <c r="A76" s="9" t="s">
        <v>117</v>
      </c>
      <c r="B76" s="11" t="n">
        <v>46062</v>
      </c>
      <c r="C76" s="9" t="s">
        <v>19</v>
      </c>
      <c r="D76" s="9" t="s">
        <v>44</v>
      </c>
      <c r="E76" s="9" t="s">
        <v>38</v>
      </c>
      <c r="F76" s="9" t="s">
        <v>61</v>
      </c>
      <c r="G76" s="9" t="n">
        <v>2</v>
      </c>
      <c r="H76" s="12" t="n">
        <v>9000</v>
      </c>
      <c r="I76" s="12" t="n">
        <f aca="false">G76*H76</f>
        <v>18000</v>
      </c>
      <c r="J76" s="13" t="n">
        <f aca="false">DATE(YEAR(B76),MONTH(B76),1)</f>
        <v>46054</v>
      </c>
    </row>
    <row r="77" customFormat="false" ht="15" hidden="false" customHeight="false" outlineLevel="0" collapsed="false">
      <c r="A77" s="9" t="s">
        <v>118</v>
      </c>
      <c r="B77" s="11" t="n">
        <v>46079</v>
      </c>
      <c r="C77" s="9" t="s">
        <v>19</v>
      </c>
      <c r="D77" s="9" t="s">
        <v>20</v>
      </c>
      <c r="E77" s="9" t="s">
        <v>21</v>
      </c>
      <c r="F77" s="9" t="s">
        <v>22</v>
      </c>
      <c r="G77" s="9" t="n">
        <v>4</v>
      </c>
      <c r="H77" s="12" t="n">
        <v>18000</v>
      </c>
      <c r="I77" s="12" t="n">
        <f aca="false">G77*H77</f>
        <v>72000</v>
      </c>
      <c r="J77" s="13" t="n">
        <f aca="false">DATE(YEAR(B77),MONTH(B77),1)</f>
        <v>46054</v>
      </c>
    </row>
    <row r="78" customFormat="false" ht="15" hidden="false" customHeight="false" outlineLevel="0" collapsed="false">
      <c r="A78" s="9" t="s">
        <v>119</v>
      </c>
      <c r="B78" s="11" t="n">
        <v>46193</v>
      </c>
      <c r="C78" s="9" t="s">
        <v>31</v>
      </c>
      <c r="D78" s="9" t="s">
        <v>41</v>
      </c>
      <c r="E78" s="9" t="s">
        <v>24</v>
      </c>
      <c r="F78" s="9" t="s">
        <v>49</v>
      </c>
      <c r="G78" s="9" t="n">
        <v>15</v>
      </c>
      <c r="H78" s="12" t="n">
        <v>120</v>
      </c>
      <c r="I78" s="12" t="n">
        <f aca="false">G78*H78</f>
        <v>1800</v>
      </c>
      <c r="J78" s="13" t="n">
        <f aca="false">DATE(YEAR(B78),MONTH(B78),1)</f>
        <v>46174</v>
      </c>
    </row>
    <row r="79" customFormat="false" ht="15" hidden="false" customHeight="false" outlineLevel="0" collapsed="false">
      <c r="A79" s="9" t="s">
        <v>120</v>
      </c>
      <c r="B79" s="11" t="n">
        <v>46126</v>
      </c>
      <c r="C79" s="9" t="s">
        <v>19</v>
      </c>
      <c r="D79" s="9" t="s">
        <v>44</v>
      </c>
      <c r="E79" s="9" t="s">
        <v>38</v>
      </c>
      <c r="F79" s="9" t="s">
        <v>39</v>
      </c>
      <c r="G79" s="9" t="n">
        <v>9</v>
      </c>
      <c r="H79" s="12" t="n">
        <v>7000</v>
      </c>
      <c r="I79" s="12" t="n">
        <f aca="false">G79*H79</f>
        <v>63000</v>
      </c>
      <c r="J79" s="13" t="n">
        <f aca="false">DATE(YEAR(B79),MONTH(B79),1)</f>
        <v>46113</v>
      </c>
    </row>
    <row r="80" customFormat="false" ht="15" hidden="false" customHeight="false" outlineLevel="0" collapsed="false">
      <c r="A80" s="9" t="s">
        <v>121</v>
      </c>
      <c r="B80" s="11" t="n">
        <v>46046</v>
      </c>
      <c r="C80" s="9" t="s">
        <v>31</v>
      </c>
      <c r="D80" s="9" t="s">
        <v>32</v>
      </c>
      <c r="E80" s="9" t="s">
        <v>38</v>
      </c>
      <c r="F80" s="9" t="s">
        <v>54</v>
      </c>
      <c r="G80" s="9" t="n">
        <v>6</v>
      </c>
      <c r="H80" s="12" t="n">
        <v>15000</v>
      </c>
      <c r="I80" s="12" t="n">
        <f aca="false">G80*H80</f>
        <v>90000</v>
      </c>
      <c r="J80" s="13" t="n">
        <f aca="false">DATE(YEAR(B80),MONTH(B80),1)</f>
        <v>46023</v>
      </c>
    </row>
    <row r="81" customFormat="false" ht="15" hidden="false" customHeight="false" outlineLevel="0" collapsed="false">
      <c r="A81" s="9" t="s">
        <v>122</v>
      </c>
      <c r="B81" s="11" t="n">
        <v>46135</v>
      </c>
      <c r="C81" s="9" t="s">
        <v>19</v>
      </c>
      <c r="D81" s="9" t="s">
        <v>20</v>
      </c>
      <c r="E81" s="9" t="s">
        <v>24</v>
      </c>
      <c r="F81" s="9" t="s">
        <v>25</v>
      </c>
      <c r="G81" s="9" t="n">
        <v>34</v>
      </c>
      <c r="H81" s="12" t="n">
        <v>350</v>
      </c>
      <c r="I81" s="12" t="n">
        <f aca="false">G81*H81</f>
        <v>11900</v>
      </c>
      <c r="J81" s="13" t="n">
        <f aca="false">DATE(YEAR(B81),MONTH(B81),1)</f>
        <v>46113</v>
      </c>
    </row>
    <row r="82" customFormat="false" ht="15" hidden="false" customHeight="false" outlineLevel="0" collapsed="false">
      <c r="A82" s="9" t="s">
        <v>123</v>
      </c>
      <c r="B82" s="11" t="n">
        <v>46098</v>
      </c>
      <c r="C82" s="9" t="s">
        <v>31</v>
      </c>
      <c r="D82" s="9" t="s">
        <v>41</v>
      </c>
      <c r="E82" s="9" t="s">
        <v>24</v>
      </c>
      <c r="F82" s="9" t="s">
        <v>25</v>
      </c>
      <c r="G82" s="9" t="n">
        <v>44</v>
      </c>
      <c r="H82" s="12" t="n">
        <v>350</v>
      </c>
      <c r="I82" s="12" t="n">
        <f aca="false">G82*H82</f>
        <v>15400</v>
      </c>
      <c r="J82" s="13" t="n">
        <f aca="false">DATE(YEAR(B82),MONTH(B82),1)</f>
        <v>46082</v>
      </c>
    </row>
    <row r="83" customFormat="false" ht="15" hidden="false" customHeight="false" outlineLevel="0" collapsed="false">
      <c r="A83" s="9" t="s">
        <v>124</v>
      </c>
      <c r="B83" s="11" t="n">
        <v>46044</v>
      </c>
      <c r="C83" s="9" t="s">
        <v>19</v>
      </c>
      <c r="D83" s="9" t="s">
        <v>44</v>
      </c>
      <c r="E83" s="9" t="s">
        <v>21</v>
      </c>
      <c r="F83" s="9" t="s">
        <v>29</v>
      </c>
      <c r="G83" s="9" t="n">
        <v>1</v>
      </c>
      <c r="H83" s="12" t="n">
        <v>2500</v>
      </c>
      <c r="I83" s="12" t="n">
        <f aca="false">G83*H83</f>
        <v>2500</v>
      </c>
      <c r="J83" s="13" t="n">
        <f aca="false">DATE(YEAR(B83),MONTH(B83),1)</f>
        <v>46023</v>
      </c>
    </row>
    <row r="84" customFormat="false" ht="15" hidden="false" customHeight="false" outlineLevel="0" collapsed="false">
      <c r="A84" s="9" t="s">
        <v>125</v>
      </c>
      <c r="B84" s="11" t="n">
        <v>46056</v>
      </c>
      <c r="C84" s="9" t="s">
        <v>19</v>
      </c>
      <c r="D84" s="9" t="s">
        <v>44</v>
      </c>
      <c r="E84" s="9" t="s">
        <v>21</v>
      </c>
      <c r="F84" s="9" t="s">
        <v>22</v>
      </c>
      <c r="G84" s="9" t="n">
        <v>3</v>
      </c>
      <c r="H84" s="12" t="n">
        <v>18000</v>
      </c>
      <c r="I84" s="12" t="n">
        <f aca="false">G84*H84</f>
        <v>54000</v>
      </c>
      <c r="J84" s="13" t="n">
        <f aca="false">DATE(YEAR(B84),MONTH(B84),1)</f>
        <v>46054</v>
      </c>
    </row>
    <row r="85" customFormat="false" ht="15" hidden="false" customHeight="false" outlineLevel="0" collapsed="false">
      <c r="A85" s="9" t="s">
        <v>126</v>
      </c>
      <c r="B85" s="11" t="n">
        <v>46061</v>
      </c>
      <c r="C85" s="9" t="s">
        <v>51</v>
      </c>
      <c r="D85" s="9" t="s">
        <v>52</v>
      </c>
      <c r="E85" s="9" t="s">
        <v>38</v>
      </c>
      <c r="F85" s="9" t="s">
        <v>61</v>
      </c>
      <c r="G85" s="9" t="n">
        <v>7</v>
      </c>
      <c r="H85" s="12" t="n">
        <v>9000</v>
      </c>
      <c r="I85" s="12" t="n">
        <f aca="false">G85*H85</f>
        <v>63000</v>
      </c>
      <c r="J85" s="13" t="n">
        <f aca="false">DATE(YEAR(B85),MONTH(B85),1)</f>
        <v>46054</v>
      </c>
    </row>
    <row r="86" customFormat="false" ht="15" hidden="false" customHeight="false" outlineLevel="0" collapsed="false">
      <c r="A86" s="9" t="s">
        <v>127</v>
      </c>
      <c r="B86" s="11" t="n">
        <v>46037</v>
      </c>
      <c r="C86" s="9" t="s">
        <v>36</v>
      </c>
      <c r="D86" s="9" t="s">
        <v>37</v>
      </c>
      <c r="E86" s="9" t="s">
        <v>21</v>
      </c>
      <c r="F86" s="9" t="s">
        <v>46</v>
      </c>
      <c r="G86" s="9" t="n">
        <v>3</v>
      </c>
      <c r="H86" s="12" t="n">
        <v>25000</v>
      </c>
      <c r="I86" s="12" t="n">
        <f aca="false">G86*H86</f>
        <v>75000</v>
      </c>
      <c r="J86" s="13" t="n">
        <f aca="false">DATE(YEAR(B86),MONTH(B86),1)</f>
        <v>46023</v>
      </c>
    </row>
    <row r="87" customFormat="false" ht="15" hidden="false" customHeight="false" outlineLevel="0" collapsed="false">
      <c r="A87" s="9" t="s">
        <v>128</v>
      </c>
      <c r="B87" s="11" t="n">
        <v>46027</v>
      </c>
      <c r="C87" s="9" t="s">
        <v>31</v>
      </c>
      <c r="D87" s="9" t="s">
        <v>41</v>
      </c>
      <c r="E87" s="9" t="s">
        <v>21</v>
      </c>
      <c r="F87" s="9" t="s">
        <v>46</v>
      </c>
      <c r="G87" s="9" t="n">
        <v>3</v>
      </c>
      <c r="H87" s="12" t="n">
        <v>25000</v>
      </c>
      <c r="I87" s="12" t="n">
        <f aca="false">G87*H87</f>
        <v>75000</v>
      </c>
      <c r="J87" s="13" t="n">
        <f aca="false">DATE(YEAR(B87),MONTH(B87),1)</f>
        <v>46023</v>
      </c>
    </row>
    <row r="88" customFormat="false" ht="15" hidden="false" customHeight="false" outlineLevel="0" collapsed="false">
      <c r="A88" s="9" t="s">
        <v>129</v>
      </c>
      <c r="B88" s="11" t="n">
        <v>46079</v>
      </c>
      <c r="C88" s="9" t="s">
        <v>51</v>
      </c>
      <c r="D88" s="9" t="s">
        <v>52</v>
      </c>
      <c r="E88" s="9" t="s">
        <v>21</v>
      </c>
      <c r="F88" s="9" t="s">
        <v>46</v>
      </c>
      <c r="G88" s="9" t="n">
        <v>5</v>
      </c>
      <c r="H88" s="12" t="n">
        <v>25000</v>
      </c>
      <c r="I88" s="12" t="n">
        <f aca="false">G88*H88</f>
        <v>125000</v>
      </c>
      <c r="J88" s="13" t="n">
        <f aca="false">DATE(YEAR(B88),MONTH(B88),1)</f>
        <v>46054</v>
      </c>
    </row>
    <row r="89" customFormat="false" ht="15" hidden="false" customHeight="false" outlineLevel="0" collapsed="false">
      <c r="A89" s="9" t="s">
        <v>130</v>
      </c>
      <c r="B89" s="11" t="n">
        <v>46025</v>
      </c>
      <c r="C89" s="9" t="s">
        <v>19</v>
      </c>
      <c r="D89" s="9" t="s">
        <v>44</v>
      </c>
      <c r="E89" s="9" t="s">
        <v>21</v>
      </c>
      <c r="F89" s="9" t="s">
        <v>46</v>
      </c>
      <c r="G89" s="9" t="n">
        <v>4</v>
      </c>
      <c r="H89" s="12" t="n">
        <v>25000</v>
      </c>
      <c r="I89" s="12" t="n">
        <f aca="false">G89*H89</f>
        <v>100000</v>
      </c>
      <c r="J89" s="13" t="n">
        <f aca="false">DATE(YEAR(B89),MONTH(B89),1)</f>
        <v>46023</v>
      </c>
    </row>
    <row r="90" customFormat="false" ht="15" hidden="false" customHeight="false" outlineLevel="0" collapsed="false">
      <c r="A90" s="9" t="s">
        <v>131</v>
      </c>
      <c r="B90" s="11" t="n">
        <v>46182</v>
      </c>
      <c r="C90" s="9" t="s">
        <v>27</v>
      </c>
      <c r="D90" s="9" t="s">
        <v>28</v>
      </c>
      <c r="E90" s="9" t="s">
        <v>38</v>
      </c>
      <c r="F90" s="9" t="s">
        <v>39</v>
      </c>
      <c r="G90" s="9" t="n">
        <v>5</v>
      </c>
      <c r="H90" s="12" t="n">
        <v>7000</v>
      </c>
      <c r="I90" s="12" t="n">
        <f aca="false">G90*H90</f>
        <v>35000</v>
      </c>
      <c r="J90" s="13" t="n">
        <f aca="false">DATE(YEAR(B90),MONTH(B90),1)</f>
        <v>46174</v>
      </c>
    </row>
    <row r="91" customFormat="false" ht="15" hidden="false" customHeight="false" outlineLevel="0" collapsed="false">
      <c r="A91" s="9" t="s">
        <v>132</v>
      </c>
      <c r="B91" s="11" t="n">
        <v>46064</v>
      </c>
      <c r="C91" s="9" t="s">
        <v>19</v>
      </c>
      <c r="D91" s="9" t="s">
        <v>44</v>
      </c>
      <c r="E91" s="9" t="s">
        <v>21</v>
      </c>
      <c r="F91" s="9" t="s">
        <v>29</v>
      </c>
      <c r="G91" s="9" t="n">
        <v>1</v>
      </c>
      <c r="H91" s="12" t="n">
        <v>2500</v>
      </c>
      <c r="I91" s="12" t="n">
        <f aca="false">G91*H91</f>
        <v>2500</v>
      </c>
      <c r="J91" s="13" t="n">
        <f aca="false">DATE(YEAR(B91),MONTH(B91),1)</f>
        <v>46054</v>
      </c>
    </row>
    <row r="92" customFormat="false" ht="15" hidden="false" customHeight="false" outlineLevel="0" collapsed="false">
      <c r="A92" s="9" t="s">
        <v>133</v>
      </c>
      <c r="B92" s="11" t="n">
        <v>46183</v>
      </c>
      <c r="C92" s="9" t="s">
        <v>19</v>
      </c>
      <c r="D92" s="9" t="s">
        <v>44</v>
      </c>
      <c r="E92" s="9" t="s">
        <v>21</v>
      </c>
      <c r="F92" s="9" t="s">
        <v>29</v>
      </c>
      <c r="G92" s="9" t="n">
        <v>3</v>
      </c>
      <c r="H92" s="12" t="n">
        <v>2500</v>
      </c>
      <c r="I92" s="12" t="n">
        <f aca="false">G92*H92</f>
        <v>7500</v>
      </c>
      <c r="J92" s="13" t="n">
        <f aca="false">DATE(YEAR(B92),MONTH(B92),1)</f>
        <v>46174</v>
      </c>
    </row>
    <row r="93" customFormat="false" ht="15" hidden="false" customHeight="false" outlineLevel="0" collapsed="false">
      <c r="A93" s="9" t="s">
        <v>134</v>
      </c>
      <c r="B93" s="11" t="n">
        <v>46137</v>
      </c>
      <c r="C93" s="9" t="s">
        <v>31</v>
      </c>
      <c r="D93" s="9" t="s">
        <v>41</v>
      </c>
      <c r="E93" s="9" t="s">
        <v>21</v>
      </c>
      <c r="F93" s="9" t="s">
        <v>29</v>
      </c>
      <c r="G93" s="9" t="n">
        <v>3</v>
      </c>
      <c r="H93" s="12" t="n">
        <v>2500</v>
      </c>
      <c r="I93" s="12" t="n">
        <f aca="false">G93*H93</f>
        <v>7500</v>
      </c>
      <c r="J93" s="13" t="n">
        <f aca="false">DATE(YEAR(B93),MONTH(B93),1)</f>
        <v>46113</v>
      </c>
    </row>
    <row r="94" customFormat="false" ht="15" hidden="false" customHeight="false" outlineLevel="0" collapsed="false">
      <c r="A94" s="9" t="s">
        <v>135</v>
      </c>
      <c r="B94" s="11" t="n">
        <v>46032</v>
      </c>
      <c r="C94" s="9" t="s">
        <v>19</v>
      </c>
      <c r="D94" s="9" t="s">
        <v>20</v>
      </c>
      <c r="E94" s="9" t="s">
        <v>21</v>
      </c>
      <c r="F94" s="9" t="s">
        <v>76</v>
      </c>
      <c r="G94" s="9" t="n">
        <v>3</v>
      </c>
      <c r="H94" s="12" t="n">
        <v>65000</v>
      </c>
      <c r="I94" s="12" t="n">
        <f aca="false">G94*H94</f>
        <v>195000</v>
      </c>
      <c r="J94" s="13" t="n">
        <f aca="false">DATE(YEAR(B94),MONTH(B94),1)</f>
        <v>46023</v>
      </c>
    </row>
    <row r="95" customFormat="false" ht="15" hidden="false" customHeight="false" outlineLevel="0" collapsed="false">
      <c r="A95" s="9" t="s">
        <v>136</v>
      </c>
      <c r="B95" s="11" t="n">
        <v>46071</v>
      </c>
      <c r="C95" s="9" t="s">
        <v>19</v>
      </c>
      <c r="D95" s="9" t="s">
        <v>44</v>
      </c>
      <c r="E95" s="9" t="s">
        <v>24</v>
      </c>
      <c r="F95" s="9" t="s">
        <v>25</v>
      </c>
      <c r="G95" s="9" t="n">
        <v>40</v>
      </c>
      <c r="H95" s="12" t="n">
        <v>350</v>
      </c>
      <c r="I95" s="12" t="n">
        <f aca="false">G95*H95</f>
        <v>14000</v>
      </c>
      <c r="J95" s="13" t="n">
        <f aca="false">DATE(YEAR(B95),MONTH(B95),1)</f>
        <v>46054</v>
      </c>
    </row>
    <row r="96" customFormat="false" ht="15" hidden="false" customHeight="false" outlineLevel="0" collapsed="false">
      <c r="A96" s="9" t="s">
        <v>137</v>
      </c>
      <c r="B96" s="11" t="n">
        <v>46191</v>
      </c>
      <c r="C96" s="9" t="s">
        <v>19</v>
      </c>
      <c r="D96" s="9" t="s">
        <v>44</v>
      </c>
      <c r="E96" s="9" t="s">
        <v>24</v>
      </c>
      <c r="F96" s="9" t="s">
        <v>49</v>
      </c>
      <c r="G96" s="9" t="n">
        <v>11</v>
      </c>
      <c r="H96" s="12" t="n">
        <v>120</v>
      </c>
      <c r="I96" s="12" t="n">
        <f aca="false">G96*H96</f>
        <v>1320</v>
      </c>
      <c r="J96" s="13" t="n">
        <f aca="false">DATE(YEAR(B96),MONTH(B96),1)</f>
        <v>46174</v>
      </c>
    </row>
    <row r="97" customFormat="false" ht="15" hidden="false" customHeight="false" outlineLevel="0" collapsed="false">
      <c r="A97" s="9" t="s">
        <v>138</v>
      </c>
      <c r="B97" s="11" t="n">
        <v>46123</v>
      </c>
      <c r="C97" s="9" t="s">
        <v>36</v>
      </c>
      <c r="D97" s="9" t="s">
        <v>37</v>
      </c>
      <c r="E97" s="9" t="s">
        <v>24</v>
      </c>
      <c r="F97" s="9" t="s">
        <v>25</v>
      </c>
      <c r="G97" s="9" t="n">
        <v>58</v>
      </c>
      <c r="H97" s="12" t="n">
        <v>350</v>
      </c>
      <c r="I97" s="12" t="n">
        <f aca="false">G97*H97</f>
        <v>20300</v>
      </c>
      <c r="J97" s="13" t="n">
        <f aca="false">DATE(YEAR(B97),MONTH(B97),1)</f>
        <v>46113</v>
      </c>
    </row>
    <row r="98" customFormat="false" ht="15" hidden="false" customHeight="false" outlineLevel="0" collapsed="false">
      <c r="A98" s="9" t="s">
        <v>139</v>
      </c>
      <c r="B98" s="11" t="n">
        <v>46073</v>
      </c>
      <c r="C98" s="9" t="s">
        <v>36</v>
      </c>
      <c r="D98" s="9" t="s">
        <v>37</v>
      </c>
      <c r="E98" s="9" t="s">
        <v>21</v>
      </c>
      <c r="F98" s="9" t="s">
        <v>29</v>
      </c>
      <c r="G98" s="9" t="n">
        <v>3</v>
      </c>
      <c r="H98" s="12" t="n">
        <v>2500</v>
      </c>
      <c r="I98" s="12" t="n">
        <f aca="false">G98*H98</f>
        <v>7500</v>
      </c>
      <c r="J98" s="13" t="n">
        <f aca="false">DATE(YEAR(B98),MONTH(B98),1)</f>
        <v>46054</v>
      </c>
    </row>
    <row r="99" customFormat="false" ht="15" hidden="false" customHeight="false" outlineLevel="0" collapsed="false">
      <c r="A99" s="9" t="s">
        <v>140</v>
      </c>
      <c r="B99" s="11" t="n">
        <v>46056</v>
      </c>
      <c r="C99" s="9" t="s">
        <v>31</v>
      </c>
      <c r="D99" s="9" t="s">
        <v>41</v>
      </c>
      <c r="E99" s="9" t="s">
        <v>38</v>
      </c>
      <c r="F99" s="9" t="s">
        <v>54</v>
      </c>
      <c r="G99" s="9" t="n">
        <v>1</v>
      </c>
      <c r="H99" s="12" t="n">
        <v>15000</v>
      </c>
      <c r="I99" s="12" t="n">
        <f aca="false">G99*H99</f>
        <v>15000</v>
      </c>
      <c r="J99" s="13" t="n">
        <f aca="false">DATE(YEAR(B99),MONTH(B99),1)</f>
        <v>46054</v>
      </c>
    </row>
    <row r="100" customFormat="false" ht="15" hidden="false" customHeight="false" outlineLevel="0" collapsed="false">
      <c r="A100" s="9" t="s">
        <v>141</v>
      </c>
      <c r="B100" s="11" t="n">
        <v>46064</v>
      </c>
      <c r="C100" s="9" t="s">
        <v>19</v>
      </c>
      <c r="D100" s="9" t="s">
        <v>20</v>
      </c>
      <c r="E100" s="9" t="s">
        <v>38</v>
      </c>
      <c r="F100" s="9" t="s">
        <v>61</v>
      </c>
      <c r="G100" s="9" t="n">
        <v>7</v>
      </c>
      <c r="H100" s="12" t="n">
        <v>9000</v>
      </c>
      <c r="I100" s="12" t="n">
        <f aca="false">G100*H100</f>
        <v>63000</v>
      </c>
      <c r="J100" s="13" t="n">
        <f aca="false">DATE(YEAR(B100),MONTH(B100),1)</f>
        <v>46054</v>
      </c>
    </row>
    <row r="101" customFormat="false" ht="15" hidden="false" customHeight="false" outlineLevel="0" collapsed="false">
      <c r="A101" s="9" t="s">
        <v>142</v>
      </c>
      <c r="B101" s="11" t="n">
        <v>46194</v>
      </c>
      <c r="C101" s="9" t="s">
        <v>19</v>
      </c>
      <c r="D101" s="9" t="s">
        <v>44</v>
      </c>
      <c r="E101" s="9" t="s">
        <v>38</v>
      </c>
      <c r="F101" s="9" t="s">
        <v>39</v>
      </c>
      <c r="G101" s="9" t="n">
        <v>9</v>
      </c>
      <c r="H101" s="12" t="n">
        <v>7000</v>
      </c>
      <c r="I101" s="12" t="n">
        <f aca="false">G101*H101</f>
        <v>63000</v>
      </c>
      <c r="J101" s="13" t="n">
        <f aca="false">DATE(YEAR(B101),MONTH(B101),1)</f>
        <v>46174</v>
      </c>
    </row>
    <row r="102" customFormat="false" ht="15" hidden="false" customHeight="false" outlineLevel="0" collapsed="false">
      <c r="A102" s="9" t="s">
        <v>143</v>
      </c>
      <c r="B102" s="11" t="n">
        <v>46140</v>
      </c>
      <c r="C102" s="9" t="s">
        <v>36</v>
      </c>
      <c r="D102" s="9" t="s">
        <v>37</v>
      </c>
      <c r="E102" s="9" t="s">
        <v>38</v>
      </c>
      <c r="F102" s="9" t="s">
        <v>61</v>
      </c>
      <c r="G102" s="9" t="n">
        <v>1</v>
      </c>
      <c r="H102" s="12" t="n">
        <v>9000</v>
      </c>
      <c r="I102" s="12" t="n">
        <f aca="false">G102*H102</f>
        <v>9000</v>
      </c>
      <c r="J102" s="13" t="n">
        <f aca="false">DATE(YEAR(B102),MONTH(B102),1)</f>
        <v>46113</v>
      </c>
    </row>
    <row r="103" customFormat="false" ht="15" hidden="false" customHeight="false" outlineLevel="0" collapsed="false">
      <c r="A103" s="9" t="s">
        <v>144</v>
      </c>
      <c r="B103" s="11" t="n">
        <v>46090</v>
      </c>
      <c r="C103" s="9" t="s">
        <v>19</v>
      </c>
      <c r="D103" s="9" t="s">
        <v>44</v>
      </c>
      <c r="E103" s="9" t="s">
        <v>24</v>
      </c>
      <c r="F103" s="9" t="s">
        <v>49</v>
      </c>
      <c r="G103" s="9" t="n">
        <v>5</v>
      </c>
      <c r="H103" s="12" t="n">
        <v>120</v>
      </c>
      <c r="I103" s="12" t="n">
        <f aca="false">G103*H103</f>
        <v>600</v>
      </c>
      <c r="J103" s="13" t="n">
        <f aca="false">DATE(YEAR(B103),MONTH(B103),1)</f>
        <v>46082</v>
      </c>
    </row>
    <row r="104" customFormat="false" ht="15" hidden="false" customHeight="false" outlineLevel="0" collapsed="false">
      <c r="A104" s="9" t="s">
        <v>145</v>
      </c>
      <c r="B104" s="11" t="n">
        <v>46085</v>
      </c>
      <c r="C104" s="9" t="s">
        <v>27</v>
      </c>
      <c r="D104" s="9" t="s">
        <v>28</v>
      </c>
      <c r="E104" s="9" t="s">
        <v>24</v>
      </c>
      <c r="F104" s="9" t="s">
        <v>25</v>
      </c>
      <c r="G104" s="9" t="n">
        <v>25</v>
      </c>
      <c r="H104" s="12" t="n">
        <v>350</v>
      </c>
      <c r="I104" s="12" t="n">
        <f aca="false">G104*H104</f>
        <v>8750</v>
      </c>
      <c r="J104" s="13" t="n">
        <f aca="false">DATE(YEAR(B104),MONTH(B104),1)</f>
        <v>46082</v>
      </c>
    </row>
    <row r="105" customFormat="false" ht="15" hidden="false" customHeight="false" outlineLevel="0" collapsed="false">
      <c r="A105" s="9" t="s">
        <v>146</v>
      </c>
      <c r="B105" s="11" t="n">
        <v>46114</v>
      </c>
      <c r="C105" s="9" t="s">
        <v>27</v>
      </c>
      <c r="D105" s="9" t="s">
        <v>28</v>
      </c>
      <c r="E105" s="9" t="s">
        <v>38</v>
      </c>
      <c r="F105" s="9" t="s">
        <v>61</v>
      </c>
      <c r="G105" s="9" t="n">
        <v>4</v>
      </c>
      <c r="H105" s="12" t="n">
        <v>9000</v>
      </c>
      <c r="I105" s="12" t="n">
        <f aca="false">G105*H105</f>
        <v>36000</v>
      </c>
      <c r="J105" s="13" t="n">
        <f aca="false">DATE(YEAR(B105),MONTH(B105),1)</f>
        <v>46113</v>
      </c>
    </row>
    <row r="106" customFormat="false" ht="15" hidden="false" customHeight="false" outlineLevel="0" collapsed="false">
      <c r="A106" s="9" t="s">
        <v>147</v>
      </c>
      <c r="B106" s="11" t="n">
        <v>46144</v>
      </c>
      <c r="C106" s="9" t="s">
        <v>19</v>
      </c>
      <c r="D106" s="9" t="s">
        <v>44</v>
      </c>
      <c r="E106" s="9" t="s">
        <v>38</v>
      </c>
      <c r="F106" s="9" t="s">
        <v>39</v>
      </c>
      <c r="G106" s="9" t="n">
        <v>2</v>
      </c>
      <c r="H106" s="12" t="n">
        <v>7000</v>
      </c>
      <c r="I106" s="12" t="n">
        <f aca="false">G106*H106</f>
        <v>14000</v>
      </c>
      <c r="J106" s="13" t="n">
        <f aca="false">DATE(YEAR(B106),MONTH(B106),1)</f>
        <v>46143</v>
      </c>
    </row>
    <row r="107" customFormat="false" ht="15" hidden="false" customHeight="false" outlineLevel="0" collapsed="false">
      <c r="A107" s="9" t="s">
        <v>148</v>
      </c>
      <c r="B107" s="11" t="n">
        <v>46152</v>
      </c>
      <c r="C107" s="9" t="s">
        <v>31</v>
      </c>
      <c r="D107" s="9" t="s">
        <v>41</v>
      </c>
      <c r="E107" s="9" t="s">
        <v>21</v>
      </c>
      <c r="F107" s="9" t="s">
        <v>29</v>
      </c>
      <c r="G107" s="9" t="n">
        <v>2</v>
      </c>
      <c r="H107" s="12" t="n">
        <v>2500</v>
      </c>
      <c r="I107" s="12" t="n">
        <f aca="false">G107*H107</f>
        <v>5000</v>
      </c>
      <c r="J107" s="13" t="n">
        <f aca="false">DATE(YEAR(B107),MONTH(B107),1)</f>
        <v>46143</v>
      </c>
    </row>
    <row r="108" customFormat="false" ht="15" hidden="false" customHeight="false" outlineLevel="0" collapsed="false">
      <c r="A108" s="9" t="s">
        <v>149</v>
      </c>
      <c r="B108" s="11" t="n">
        <v>46125</v>
      </c>
      <c r="C108" s="9" t="s">
        <v>19</v>
      </c>
      <c r="D108" s="9" t="s">
        <v>20</v>
      </c>
      <c r="E108" s="9" t="s">
        <v>21</v>
      </c>
      <c r="F108" s="9" t="s">
        <v>46</v>
      </c>
      <c r="G108" s="9" t="n">
        <v>2</v>
      </c>
      <c r="H108" s="12" t="n">
        <v>25000</v>
      </c>
      <c r="I108" s="12" t="n">
        <f aca="false">G108*H108</f>
        <v>50000</v>
      </c>
      <c r="J108" s="13" t="n">
        <f aca="false">DATE(YEAR(B108),MONTH(B108),1)</f>
        <v>46113</v>
      </c>
    </row>
    <row r="109" customFormat="false" ht="15" hidden="false" customHeight="false" outlineLevel="0" collapsed="false">
      <c r="A109" s="9" t="s">
        <v>150</v>
      </c>
      <c r="B109" s="11" t="n">
        <v>46184</v>
      </c>
      <c r="C109" s="9" t="s">
        <v>31</v>
      </c>
      <c r="D109" s="9" t="s">
        <v>41</v>
      </c>
      <c r="E109" s="9" t="s">
        <v>38</v>
      </c>
      <c r="F109" s="9" t="s">
        <v>61</v>
      </c>
      <c r="G109" s="9" t="n">
        <v>5</v>
      </c>
      <c r="H109" s="12" t="n">
        <v>9000</v>
      </c>
      <c r="I109" s="12" t="n">
        <f aca="false">G109*H109</f>
        <v>45000</v>
      </c>
      <c r="J109" s="13" t="n">
        <f aca="false">DATE(YEAR(B109),MONTH(B109),1)</f>
        <v>46174</v>
      </c>
    </row>
    <row r="110" customFormat="false" ht="15" hidden="false" customHeight="false" outlineLevel="0" collapsed="false">
      <c r="A110" s="9" t="s">
        <v>151</v>
      </c>
      <c r="B110" s="11" t="n">
        <v>46062</v>
      </c>
      <c r="C110" s="9" t="s">
        <v>19</v>
      </c>
      <c r="D110" s="9" t="s">
        <v>44</v>
      </c>
      <c r="E110" s="9" t="s">
        <v>24</v>
      </c>
      <c r="F110" s="9" t="s">
        <v>25</v>
      </c>
      <c r="G110" s="9" t="n">
        <v>59</v>
      </c>
      <c r="H110" s="12" t="n">
        <v>350</v>
      </c>
      <c r="I110" s="12" t="n">
        <f aca="false">G110*H110</f>
        <v>20650</v>
      </c>
      <c r="J110" s="13" t="n">
        <f aca="false">DATE(YEAR(B110),MONTH(B110),1)</f>
        <v>46054</v>
      </c>
    </row>
    <row r="111" customFormat="false" ht="15" hidden="false" customHeight="false" outlineLevel="0" collapsed="false">
      <c r="A111" s="9" t="s">
        <v>152</v>
      </c>
      <c r="B111" s="11" t="n">
        <v>46095</v>
      </c>
      <c r="C111" s="9" t="s">
        <v>51</v>
      </c>
      <c r="D111" s="9" t="s">
        <v>52</v>
      </c>
      <c r="E111" s="9" t="s">
        <v>24</v>
      </c>
      <c r="F111" s="9" t="s">
        <v>49</v>
      </c>
      <c r="G111" s="9" t="n">
        <v>14</v>
      </c>
      <c r="H111" s="12" t="n">
        <v>120</v>
      </c>
      <c r="I111" s="12" t="n">
        <f aca="false">G111*H111</f>
        <v>1680</v>
      </c>
      <c r="J111" s="13" t="n">
        <f aca="false">DATE(YEAR(B111),MONTH(B111),1)</f>
        <v>46082</v>
      </c>
    </row>
    <row r="112" customFormat="false" ht="15" hidden="false" customHeight="false" outlineLevel="0" collapsed="false">
      <c r="A112" s="9" t="s">
        <v>153</v>
      </c>
      <c r="B112" s="11" t="n">
        <v>46132</v>
      </c>
      <c r="C112" s="9" t="s">
        <v>19</v>
      </c>
      <c r="D112" s="9" t="s">
        <v>20</v>
      </c>
      <c r="E112" s="9" t="s">
        <v>24</v>
      </c>
      <c r="F112" s="9" t="s">
        <v>25</v>
      </c>
      <c r="G112" s="9" t="n">
        <v>45</v>
      </c>
      <c r="H112" s="12" t="n">
        <v>350</v>
      </c>
      <c r="I112" s="12" t="n">
        <f aca="false">G112*H112</f>
        <v>15750</v>
      </c>
      <c r="J112" s="13" t="n">
        <f aca="false">DATE(YEAR(B112),MONTH(B112),1)</f>
        <v>46113</v>
      </c>
    </row>
    <row r="113" customFormat="false" ht="15" hidden="false" customHeight="false" outlineLevel="0" collapsed="false">
      <c r="A113" s="9" t="s">
        <v>154</v>
      </c>
      <c r="B113" s="11" t="n">
        <v>46027</v>
      </c>
      <c r="C113" s="9" t="s">
        <v>27</v>
      </c>
      <c r="D113" s="9" t="s">
        <v>28</v>
      </c>
      <c r="E113" s="9" t="s">
        <v>24</v>
      </c>
      <c r="F113" s="9" t="s">
        <v>25</v>
      </c>
      <c r="G113" s="9" t="n">
        <v>41</v>
      </c>
      <c r="H113" s="12" t="n">
        <v>350</v>
      </c>
      <c r="I113" s="12" t="n">
        <f aca="false">G113*H113</f>
        <v>14350</v>
      </c>
      <c r="J113" s="13" t="n">
        <f aca="false">DATE(YEAR(B113),MONTH(B113),1)</f>
        <v>46023</v>
      </c>
    </row>
    <row r="114" customFormat="false" ht="15" hidden="false" customHeight="false" outlineLevel="0" collapsed="false">
      <c r="A114" s="9" t="s">
        <v>155</v>
      </c>
      <c r="B114" s="11" t="n">
        <v>46186</v>
      </c>
      <c r="C114" s="9" t="s">
        <v>19</v>
      </c>
      <c r="D114" s="9" t="s">
        <v>44</v>
      </c>
      <c r="E114" s="9" t="s">
        <v>21</v>
      </c>
      <c r="F114" s="9" t="s">
        <v>76</v>
      </c>
      <c r="G114" s="9" t="n">
        <v>2</v>
      </c>
      <c r="H114" s="12" t="n">
        <v>65000</v>
      </c>
      <c r="I114" s="12" t="n">
        <f aca="false">G114*H114</f>
        <v>130000</v>
      </c>
      <c r="J114" s="13" t="n">
        <f aca="false">DATE(YEAR(B114),MONTH(B114),1)</f>
        <v>46174</v>
      </c>
    </row>
    <row r="115" customFormat="false" ht="15" hidden="false" customHeight="false" outlineLevel="0" collapsed="false">
      <c r="A115" s="9" t="s">
        <v>156</v>
      </c>
      <c r="B115" s="11" t="n">
        <v>46165</v>
      </c>
      <c r="C115" s="9" t="s">
        <v>27</v>
      </c>
      <c r="D115" s="9" t="s">
        <v>28</v>
      </c>
      <c r="E115" s="9" t="s">
        <v>38</v>
      </c>
      <c r="F115" s="9" t="s">
        <v>39</v>
      </c>
      <c r="G115" s="9" t="n">
        <v>8</v>
      </c>
      <c r="H115" s="12" t="n">
        <v>7000</v>
      </c>
      <c r="I115" s="12" t="n">
        <f aca="false">G115*H115</f>
        <v>56000</v>
      </c>
      <c r="J115" s="13" t="n">
        <f aca="false">DATE(YEAR(B115),MONTH(B115),1)</f>
        <v>46143</v>
      </c>
    </row>
    <row r="116" customFormat="false" ht="15" hidden="false" customHeight="false" outlineLevel="0" collapsed="false">
      <c r="A116" s="9" t="s">
        <v>157</v>
      </c>
      <c r="B116" s="11" t="n">
        <v>46085</v>
      </c>
      <c r="C116" s="9" t="s">
        <v>36</v>
      </c>
      <c r="D116" s="9" t="s">
        <v>37</v>
      </c>
      <c r="E116" s="9" t="s">
        <v>24</v>
      </c>
      <c r="F116" s="9" t="s">
        <v>25</v>
      </c>
      <c r="G116" s="9" t="n">
        <v>48</v>
      </c>
      <c r="H116" s="12" t="n">
        <v>350</v>
      </c>
      <c r="I116" s="12" t="n">
        <f aca="false">G116*H116</f>
        <v>16800</v>
      </c>
      <c r="J116" s="13" t="n">
        <f aca="false">DATE(YEAR(B116),MONTH(B116),1)</f>
        <v>46082</v>
      </c>
    </row>
    <row r="117" customFormat="false" ht="15" hidden="false" customHeight="false" outlineLevel="0" collapsed="false">
      <c r="A117" s="9" t="s">
        <v>158</v>
      </c>
      <c r="B117" s="11" t="n">
        <v>46040</v>
      </c>
      <c r="C117" s="9" t="s">
        <v>19</v>
      </c>
      <c r="D117" s="9" t="s">
        <v>20</v>
      </c>
      <c r="E117" s="9" t="s">
        <v>24</v>
      </c>
      <c r="F117" s="9" t="s">
        <v>49</v>
      </c>
      <c r="G117" s="9" t="n">
        <v>56</v>
      </c>
      <c r="H117" s="12" t="n">
        <v>120</v>
      </c>
      <c r="I117" s="12" t="n">
        <f aca="false">G117*H117</f>
        <v>6720</v>
      </c>
      <c r="J117" s="13" t="n">
        <f aca="false">DATE(YEAR(B117),MONTH(B117),1)</f>
        <v>46023</v>
      </c>
    </row>
    <row r="118" customFormat="false" ht="15" hidden="false" customHeight="false" outlineLevel="0" collapsed="false">
      <c r="A118" s="9" t="s">
        <v>159</v>
      </c>
      <c r="B118" s="11" t="n">
        <v>46087</v>
      </c>
      <c r="C118" s="9" t="s">
        <v>36</v>
      </c>
      <c r="D118" s="9" t="s">
        <v>37</v>
      </c>
      <c r="E118" s="9" t="s">
        <v>21</v>
      </c>
      <c r="F118" s="9" t="s">
        <v>46</v>
      </c>
      <c r="G118" s="9" t="n">
        <v>4</v>
      </c>
      <c r="H118" s="12" t="n">
        <v>25000</v>
      </c>
      <c r="I118" s="12" t="n">
        <f aca="false">G118*H118</f>
        <v>100000</v>
      </c>
      <c r="J118" s="13" t="n">
        <f aca="false">DATE(YEAR(B118),MONTH(B118),1)</f>
        <v>46082</v>
      </c>
    </row>
    <row r="119" customFormat="false" ht="15" hidden="false" customHeight="false" outlineLevel="0" collapsed="false">
      <c r="A119" s="9" t="s">
        <v>160</v>
      </c>
      <c r="B119" s="11" t="n">
        <v>46082</v>
      </c>
      <c r="C119" s="9" t="s">
        <v>51</v>
      </c>
      <c r="D119" s="9" t="s">
        <v>52</v>
      </c>
      <c r="E119" s="9" t="s">
        <v>21</v>
      </c>
      <c r="F119" s="9" t="s">
        <v>29</v>
      </c>
      <c r="G119" s="9" t="n">
        <v>2</v>
      </c>
      <c r="H119" s="12" t="n">
        <v>2500</v>
      </c>
      <c r="I119" s="12" t="n">
        <f aca="false">G119*H119</f>
        <v>5000</v>
      </c>
      <c r="J119" s="13" t="n">
        <f aca="false">DATE(YEAR(B119),MONTH(B119),1)</f>
        <v>46082</v>
      </c>
    </row>
    <row r="120" customFormat="false" ht="15" hidden="false" customHeight="false" outlineLevel="0" collapsed="false">
      <c r="A120" s="9" t="s">
        <v>161</v>
      </c>
      <c r="B120" s="11" t="n">
        <v>46145</v>
      </c>
      <c r="C120" s="9" t="s">
        <v>31</v>
      </c>
      <c r="D120" s="9" t="s">
        <v>32</v>
      </c>
      <c r="E120" s="9" t="s">
        <v>38</v>
      </c>
      <c r="F120" s="9" t="s">
        <v>39</v>
      </c>
      <c r="G120" s="9" t="n">
        <v>2</v>
      </c>
      <c r="H120" s="12" t="n">
        <v>7000</v>
      </c>
      <c r="I120" s="12" t="n">
        <f aca="false">G120*H120</f>
        <v>14000</v>
      </c>
      <c r="J120" s="13" t="n">
        <f aca="false">DATE(YEAR(B120),MONTH(B120),1)</f>
        <v>46143</v>
      </c>
    </row>
    <row r="121" customFormat="false" ht="15" hidden="false" customHeight="false" outlineLevel="0" collapsed="false">
      <c r="A121" s="9" t="s">
        <v>162</v>
      </c>
      <c r="B121" s="11" t="n">
        <v>46187</v>
      </c>
      <c r="C121" s="9" t="s">
        <v>51</v>
      </c>
      <c r="D121" s="9" t="s">
        <v>52</v>
      </c>
      <c r="E121" s="9" t="s">
        <v>24</v>
      </c>
      <c r="F121" s="9" t="s">
        <v>34</v>
      </c>
      <c r="G121" s="9" t="n">
        <v>45</v>
      </c>
      <c r="H121" s="12" t="n">
        <v>600</v>
      </c>
      <c r="I121" s="12" t="n">
        <f aca="false">G121*H121</f>
        <v>27000</v>
      </c>
      <c r="J121" s="13" t="n">
        <f aca="false">DATE(YEAR(B121),MONTH(B121),1)</f>
        <v>46174</v>
      </c>
    </row>
    <row r="122" customFormat="false" ht="15" hidden="false" customHeight="false" outlineLevel="0" collapsed="false">
      <c r="A122" s="9" t="s">
        <v>163</v>
      </c>
      <c r="B122" s="11" t="n">
        <v>46088</v>
      </c>
      <c r="C122" s="9" t="s">
        <v>19</v>
      </c>
      <c r="D122" s="9" t="s">
        <v>44</v>
      </c>
      <c r="E122" s="9" t="s">
        <v>21</v>
      </c>
      <c r="F122" s="9" t="s">
        <v>22</v>
      </c>
      <c r="G122" s="9" t="n">
        <v>3</v>
      </c>
      <c r="H122" s="12" t="n">
        <v>18000</v>
      </c>
      <c r="I122" s="12" t="n">
        <f aca="false">G122*H122</f>
        <v>54000</v>
      </c>
      <c r="J122" s="13" t="n">
        <f aca="false">DATE(YEAR(B122),MONTH(B122),1)</f>
        <v>46082</v>
      </c>
    </row>
    <row r="123" customFormat="false" ht="15" hidden="false" customHeight="false" outlineLevel="0" collapsed="false">
      <c r="A123" s="9" t="s">
        <v>164</v>
      </c>
      <c r="B123" s="11" t="n">
        <v>46146</v>
      </c>
      <c r="C123" s="9" t="s">
        <v>36</v>
      </c>
      <c r="D123" s="9" t="s">
        <v>37</v>
      </c>
      <c r="E123" s="9" t="s">
        <v>21</v>
      </c>
      <c r="F123" s="9" t="s">
        <v>22</v>
      </c>
      <c r="G123" s="9" t="n">
        <v>1</v>
      </c>
      <c r="H123" s="12" t="n">
        <v>18000</v>
      </c>
      <c r="I123" s="12" t="n">
        <f aca="false">G123*H123</f>
        <v>18000</v>
      </c>
      <c r="J123" s="13" t="n">
        <f aca="false">DATE(YEAR(B123),MONTH(B123),1)</f>
        <v>46143</v>
      </c>
    </row>
    <row r="124" customFormat="false" ht="15" hidden="false" customHeight="false" outlineLevel="0" collapsed="false">
      <c r="A124" s="9" t="s">
        <v>165</v>
      </c>
      <c r="B124" s="11" t="n">
        <v>46195</v>
      </c>
      <c r="C124" s="9" t="s">
        <v>31</v>
      </c>
      <c r="D124" s="9" t="s">
        <v>32</v>
      </c>
      <c r="E124" s="9" t="s">
        <v>21</v>
      </c>
      <c r="F124" s="9" t="s">
        <v>46</v>
      </c>
      <c r="G124" s="9" t="n">
        <v>2</v>
      </c>
      <c r="H124" s="12" t="n">
        <v>25000</v>
      </c>
      <c r="I124" s="12" t="n">
        <f aca="false">G124*H124</f>
        <v>50000</v>
      </c>
      <c r="J124" s="13" t="n">
        <f aca="false">DATE(YEAR(B124),MONTH(B124),1)</f>
        <v>46174</v>
      </c>
    </row>
    <row r="125" customFormat="false" ht="15" hidden="false" customHeight="false" outlineLevel="0" collapsed="false">
      <c r="A125" s="9" t="s">
        <v>166</v>
      </c>
      <c r="B125" s="11" t="n">
        <v>46141</v>
      </c>
      <c r="C125" s="9" t="s">
        <v>19</v>
      </c>
      <c r="D125" s="9" t="s">
        <v>44</v>
      </c>
      <c r="E125" s="9" t="s">
        <v>24</v>
      </c>
      <c r="F125" s="9" t="s">
        <v>25</v>
      </c>
      <c r="G125" s="9" t="n">
        <v>23</v>
      </c>
      <c r="H125" s="12" t="n">
        <v>350</v>
      </c>
      <c r="I125" s="12" t="n">
        <f aca="false">G125*H125</f>
        <v>8050</v>
      </c>
      <c r="J125" s="13" t="n">
        <f aca="false">DATE(YEAR(B125),MONTH(B125),1)</f>
        <v>46113</v>
      </c>
    </row>
    <row r="126" customFormat="false" ht="15" hidden="false" customHeight="false" outlineLevel="0" collapsed="false">
      <c r="A126" s="9" t="s">
        <v>167</v>
      </c>
      <c r="B126" s="11" t="n">
        <v>46074</v>
      </c>
      <c r="C126" s="9" t="s">
        <v>31</v>
      </c>
      <c r="D126" s="9" t="s">
        <v>32</v>
      </c>
      <c r="E126" s="9" t="s">
        <v>21</v>
      </c>
      <c r="F126" s="9" t="s">
        <v>46</v>
      </c>
      <c r="G126" s="9" t="n">
        <v>5</v>
      </c>
      <c r="H126" s="12" t="n">
        <v>25000</v>
      </c>
      <c r="I126" s="12" t="n">
        <f aca="false">G126*H126</f>
        <v>125000</v>
      </c>
      <c r="J126" s="13" t="n">
        <f aca="false">DATE(YEAR(B126),MONTH(B126),1)</f>
        <v>46054</v>
      </c>
    </row>
    <row r="127" customFormat="false" ht="15" hidden="false" customHeight="false" outlineLevel="0" collapsed="false">
      <c r="A127" s="9" t="s">
        <v>168</v>
      </c>
      <c r="B127" s="11" t="n">
        <v>46097</v>
      </c>
      <c r="C127" s="9" t="s">
        <v>27</v>
      </c>
      <c r="D127" s="9" t="s">
        <v>28</v>
      </c>
      <c r="E127" s="9" t="s">
        <v>24</v>
      </c>
      <c r="F127" s="9" t="s">
        <v>49</v>
      </c>
      <c r="G127" s="9" t="n">
        <v>6</v>
      </c>
      <c r="H127" s="12" t="n">
        <v>120</v>
      </c>
      <c r="I127" s="12" t="n">
        <f aca="false">G127*H127</f>
        <v>720</v>
      </c>
      <c r="J127" s="13" t="n">
        <f aca="false">DATE(YEAR(B127),MONTH(B127),1)</f>
        <v>46082</v>
      </c>
    </row>
    <row r="128" customFormat="false" ht="15" hidden="false" customHeight="false" outlineLevel="0" collapsed="false">
      <c r="A128" s="9" t="s">
        <v>169</v>
      </c>
      <c r="B128" s="11" t="n">
        <v>46091</v>
      </c>
      <c r="C128" s="9" t="s">
        <v>19</v>
      </c>
      <c r="D128" s="9" t="s">
        <v>44</v>
      </c>
      <c r="E128" s="9" t="s">
        <v>24</v>
      </c>
      <c r="F128" s="9" t="s">
        <v>25</v>
      </c>
      <c r="G128" s="9" t="n">
        <v>33</v>
      </c>
      <c r="H128" s="12" t="n">
        <v>350</v>
      </c>
      <c r="I128" s="12" t="n">
        <f aca="false">G128*H128</f>
        <v>11550</v>
      </c>
      <c r="J128" s="13" t="n">
        <f aca="false">DATE(YEAR(B128),MONTH(B128),1)</f>
        <v>46082</v>
      </c>
    </row>
    <row r="129" customFormat="false" ht="15" hidden="false" customHeight="false" outlineLevel="0" collapsed="false">
      <c r="A129" s="9" t="s">
        <v>170</v>
      </c>
      <c r="B129" s="11" t="n">
        <v>46171</v>
      </c>
      <c r="C129" s="9" t="s">
        <v>19</v>
      </c>
      <c r="D129" s="9" t="s">
        <v>20</v>
      </c>
      <c r="E129" s="9" t="s">
        <v>21</v>
      </c>
      <c r="F129" s="9" t="s">
        <v>29</v>
      </c>
      <c r="G129" s="9" t="n">
        <v>1</v>
      </c>
      <c r="H129" s="12" t="n">
        <v>2500</v>
      </c>
      <c r="I129" s="12" t="n">
        <f aca="false">G129*H129</f>
        <v>2500</v>
      </c>
      <c r="J129" s="13" t="n">
        <f aca="false">DATE(YEAR(B129),MONTH(B129),1)</f>
        <v>46143</v>
      </c>
    </row>
    <row r="130" customFormat="false" ht="15" hidden="false" customHeight="false" outlineLevel="0" collapsed="false">
      <c r="A130" s="9" t="s">
        <v>171</v>
      </c>
      <c r="B130" s="11" t="n">
        <v>46115</v>
      </c>
      <c r="C130" s="9" t="s">
        <v>19</v>
      </c>
      <c r="D130" s="9" t="s">
        <v>20</v>
      </c>
      <c r="E130" s="9" t="s">
        <v>24</v>
      </c>
      <c r="F130" s="9" t="s">
        <v>25</v>
      </c>
      <c r="G130" s="9" t="n">
        <v>21</v>
      </c>
      <c r="H130" s="12" t="n">
        <v>350</v>
      </c>
      <c r="I130" s="12" t="n">
        <f aca="false">G130*H130</f>
        <v>7350</v>
      </c>
      <c r="J130" s="13" t="n">
        <f aca="false">DATE(YEAR(B130),MONTH(B130),1)</f>
        <v>46113</v>
      </c>
    </row>
    <row r="131" customFormat="false" ht="15" hidden="false" customHeight="false" outlineLevel="0" collapsed="false">
      <c r="A131" s="9" t="s">
        <v>172</v>
      </c>
      <c r="B131" s="11" t="n">
        <v>46051</v>
      </c>
      <c r="C131" s="9" t="s">
        <v>36</v>
      </c>
      <c r="D131" s="9" t="s">
        <v>37</v>
      </c>
      <c r="E131" s="9" t="s">
        <v>24</v>
      </c>
      <c r="F131" s="9" t="s">
        <v>25</v>
      </c>
      <c r="G131" s="9" t="n">
        <v>22</v>
      </c>
      <c r="H131" s="12" t="n">
        <v>350</v>
      </c>
      <c r="I131" s="12" t="n">
        <f aca="false">G131*H131</f>
        <v>7700</v>
      </c>
      <c r="J131" s="13" t="n">
        <f aca="false">DATE(YEAR(B131),MONTH(B131),1)</f>
        <v>46023</v>
      </c>
    </row>
    <row r="132" customFormat="false" ht="15" hidden="false" customHeight="false" outlineLevel="0" collapsed="false">
      <c r="A132" s="9" t="s">
        <v>173</v>
      </c>
      <c r="B132" s="11" t="n">
        <v>46029</v>
      </c>
      <c r="C132" s="9" t="s">
        <v>19</v>
      </c>
      <c r="D132" s="9" t="s">
        <v>20</v>
      </c>
      <c r="E132" s="9" t="s">
        <v>24</v>
      </c>
      <c r="F132" s="9" t="s">
        <v>49</v>
      </c>
      <c r="G132" s="9" t="n">
        <v>30</v>
      </c>
      <c r="H132" s="12" t="n">
        <v>120</v>
      </c>
      <c r="I132" s="12" t="n">
        <f aca="false">G132*H132</f>
        <v>3600</v>
      </c>
      <c r="J132" s="13" t="n">
        <f aca="false">DATE(YEAR(B132),MONTH(B132),1)</f>
        <v>46023</v>
      </c>
    </row>
    <row r="133" customFormat="false" ht="15" hidden="false" customHeight="false" outlineLevel="0" collapsed="false">
      <c r="A133" s="9" t="s">
        <v>174</v>
      </c>
      <c r="B133" s="11" t="n">
        <v>46138</v>
      </c>
      <c r="C133" s="9" t="s">
        <v>19</v>
      </c>
      <c r="D133" s="9" t="s">
        <v>44</v>
      </c>
      <c r="E133" s="9" t="s">
        <v>24</v>
      </c>
      <c r="F133" s="9" t="s">
        <v>49</v>
      </c>
      <c r="G133" s="9" t="n">
        <v>48</v>
      </c>
      <c r="H133" s="12" t="n">
        <v>120</v>
      </c>
      <c r="I133" s="12" t="n">
        <f aca="false">G133*H133</f>
        <v>5760</v>
      </c>
      <c r="J133" s="13" t="n">
        <f aca="false">DATE(YEAR(B133),MONTH(B133),1)</f>
        <v>46113</v>
      </c>
    </row>
    <row r="134" customFormat="false" ht="15" hidden="false" customHeight="false" outlineLevel="0" collapsed="false">
      <c r="A134" s="9" t="s">
        <v>175</v>
      </c>
      <c r="B134" s="11" t="n">
        <v>46111</v>
      </c>
      <c r="C134" s="9" t="s">
        <v>19</v>
      </c>
      <c r="D134" s="9" t="s">
        <v>44</v>
      </c>
      <c r="E134" s="9" t="s">
        <v>21</v>
      </c>
      <c r="F134" s="9" t="s">
        <v>22</v>
      </c>
      <c r="G134" s="9" t="n">
        <v>4</v>
      </c>
      <c r="H134" s="12" t="n">
        <v>18000</v>
      </c>
      <c r="I134" s="12" t="n">
        <f aca="false">G134*H134</f>
        <v>72000</v>
      </c>
      <c r="J134" s="13" t="n">
        <f aca="false">DATE(YEAR(B134),MONTH(B134),1)</f>
        <v>46082</v>
      </c>
    </row>
    <row r="135" customFormat="false" ht="15" hidden="false" customHeight="false" outlineLevel="0" collapsed="false">
      <c r="A135" s="9" t="s">
        <v>176</v>
      </c>
      <c r="B135" s="11" t="n">
        <v>46106</v>
      </c>
      <c r="C135" s="9" t="s">
        <v>19</v>
      </c>
      <c r="D135" s="9" t="s">
        <v>44</v>
      </c>
      <c r="E135" s="9" t="s">
        <v>38</v>
      </c>
      <c r="F135" s="9" t="s">
        <v>54</v>
      </c>
      <c r="G135" s="9" t="n">
        <v>1</v>
      </c>
      <c r="H135" s="12" t="n">
        <v>15000</v>
      </c>
      <c r="I135" s="12" t="n">
        <f aca="false">G135*H135</f>
        <v>15000</v>
      </c>
      <c r="J135" s="13" t="n">
        <f aca="false">DATE(YEAR(B135),MONTH(B135),1)</f>
        <v>46082</v>
      </c>
    </row>
    <row r="136" customFormat="false" ht="15" hidden="false" customHeight="false" outlineLevel="0" collapsed="false">
      <c r="A136" s="9" t="s">
        <v>177</v>
      </c>
      <c r="B136" s="11" t="n">
        <v>46026</v>
      </c>
      <c r="C136" s="9" t="s">
        <v>51</v>
      </c>
      <c r="D136" s="9" t="s">
        <v>52</v>
      </c>
      <c r="E136" s="9" t="s">
        <v>21</v>
      </c>
      <c r="F136" s="9" t="s">
        <v>46</v>
      </c>
      <c r="G136" s="9" t="n">
        <v>2</v>
      </c>
      <c r="H136" s="12" t="n">
        <v>25000</v>
      </c>
      <c r="I136" s="12" t="n">
        <f aca="false">G136*H136</f>
        <v>50000</v>
      </c>
      <c r="J136" s="13" t="n">
        <f aca="false">DATE(YEAR(B136),MONTH(B136),1)</f>
        <v>46023</v>
      </c>
    </row>
    <row r="137" customFormat="false" ht="15" hidden="false" customHeight="false" outlineLevel="0" collapsed="false">
      <c r="A137" s="9" t="s">
        <v>178</v>
      </c>
      <c r="B137" s="11" t="n">
        <v>46122</v>
      </c>
      <c r="C137" s="9" t="s">
        <v>19</v>
      </c>
      <c r="D137" s="9" t="s">
        <v>20</v>
      </c>
      <c r="E137" s="9" t="s">
        <v>21</v>
      </c>
      <c r="F137" s="9" t="s">
        <v>46</v>
      </c>
      <c r="G137" s="9" t="n">
        <v>4</v>
      </c>
      <c r="H137" s="12" t="n">
        <v>25000</v>
      </c>
      <c r="I137" s="12" t="n">
        <f aca="false">G137*H137</f>
        <v>100000</v>
      </c>
      <c r="J137" s="13" t="n">
        <f aca="false">DATE(YEAR(B137),MONTH(B137),1)</f>
        <v>46113</v>
      </c>
    </row>
    <row r="138" customFormat="false" ht="15" hidden="false" customHeight="false" outlineLevel="0" collapsed="false">
      <c r="A138" s="9" t="s">
        <v>179</v>
      </c>
      <c r="B138" s="11" t="n">
        <v>46035</v>
      </c>
      <c r="C138" s="9" t="s">
        <v>31</v>
      </c>
      <c r="D138" s="9" t="s">
        <v>32</v>
      </c>
      <c r="E138" s="9" t="s">
        <v>38</v>
      </c>
      <c r="F138" s="9" t="s">
        <v>39</v>
      </c>
      <c r="G138" s="9" t="n">
        <v>5</v>
      </c>
      <c r="H138" s="12" t="n">
        <v>7000</v>
      </c>
      <c r="I138" s="12" t="n">
        <f aca="false">G138*H138</f>
        <v>35000</v>
      </c>
      <c r="J138" s="13" t="n">
        <f aca="false">DATE(YEAR(B138),MONTH(B138),1)</f>
        <v>46023</v>
      </c>
    </row>
    <row r="139" customFormat="false" ht="15" hidden="false" customHeight="false" outlineLevel="0" collapsed="false">
      <c r="A139" s="9" t="s">
        <v>180</v>
      </c>
      <c r="B139" s="11" t="n">
        <v>46061</v>
      </c>
      <c r="C139" s="9" t="s">
        <v>19</v>
      </c>
      <c r="D139" s="9" t="s">
        <v>20</v>
      </c>
      <c r="E139" s="9" t="s">
        <v>38</v>
      </c>
      <c r="F139" s="9" t="s">
        <v>61</v>
      </c>
      <c r="G139" s="9" t="n">
        <v>11</v>
      </c>
      <c r="H139" s="12" t="n">
        <v>9000</v>
      </c>
      <c r="I139" s="12" t="n">
        <f aca="false">G139*H139</f>
        <v>99000</v>
      </c>
      <c r="J139" s="13" t="n">
        <f aca="false">DATE(YEAR(B139),MONTH(B139),1)</f>
        <v>46054</v>
      </c>
    </row>
    <row r="140" customFormat="false" ht="15" hidden="false" customHeight="false" outlineLevel="0" collapsed="false">
      <c r="A140" s="9" t="s">
        <v>181</v>
      </c>
      <c r="B140" s="11" t="n">
        <v>46103</v>
      </c>
      <c r="C140" s="9" t="s">
        <v>27</v>
      </c>
      <c r="D140" s="9" t="s">
        <v>28</v>
      </c>
      <c r="E140" s="9" t="s">
        <v>38</v>
      </c>
      <c r="F140" s="9" t="s">
        <v>39</v>
      </c>
      <c r="G140" s="9" t="n">
        <v>9</v>
      </c>
      <c r="H140" s="12" t="n">
        <v>7000</v>
      </c>
      <c r="I140" s="12" t="n">
        <f aca="false">G140*H140</f>
        <v>63000</v>
      </c>
      <c r="J140" s="13" t="n">
        <f aca="false">DATE(YEAR(B140),MONTH(B140),1)</f>
        <v>46082</v>
      </c>
    </row>
    <row r="141" customFormat="false" ht="15" hidden="false" customHeight="false" outlineLevel="0" collapsed="false">
      <c r="A141" s="9" t="s">
        <v>182</v>
      </c>
      <c r="B141" s="11" t="n">
        <v>46184</v>
      </c>
      <c r="C141" s="9" t="s">
        <v>51</v>
      </c>
      <c r="D141" s="9" t="s">
        <v>52</v>
      </c>
      <c r="E141" s="9" t="s">
        <v>38</v>
      </c>
      <c r="F141" s="9" t="s">
        <v>39</v>
      </c>
      <c r="G141" s="9" t="n">
        <v>1</v>
      </c>
      <c r="H141" s="12" t="n">
        <v>7000</v>
      </c>
      <c r="I141" s="12" t="n">
        <f aca="false">G141*H141</f>
        <v>7000</v>
      </c>
      <c r="J141" s="13" t="n">
        <f aca="false">DATE(YEAR(B141),MONTH(B141),1)</f>
        <v>46174</v>
      </c>
    </row>
    <row r="142" customFormat="false" ht="15" hidden="false" customHeight="false" outlineLevel="0" collapsed="false">
      <c r="A142" s="9" t="s">
        <v>183</v>
      </c>
      <c r="B142" s="11" t="n">
        <v>46075</v>
      </c>
      <c r="C142" s="9" t="s">
        <v>27</v>
      </c>
      <c r="D142" s="9" t="s">
        <v>28</v>
      </c>
      <c r="E142" s="9" t="s">
        <v>24</v>
      </c>
      <c r="F142" s="9" t="s">
        <v>25</v>
      </c>
      <c r="G142" s="9" t="n">
        <v>40</v>
      </c>
      <c r="H142" s="12" t="n">
        <v>350</v>
      </c>
      <c r="I142" s="12" t="n">
        <f aca="false">G142*H142</f>
        <v>14000</v>
      </c>
      <c r="J142" s="13" t="n">
        <f aca="false">DATE(YEAR(B142),MONTH(B142),1)</f>
        <v>46054</v>
      </c>
    </row>
    <row r="143" customFormat="false" ht="15" hidden="false" customHeight="false" outlineLevel="0" collapsed="false">
      <c r="A143" s="9" t="s">
        <v>184</v>
      </c>
      <c r="B143" s="11" t="n">
        <v>46180</v>
      </c>
      <c r="C143" s="9" t="s">
        <v>19</v>
      </c>
      <c r="D143" s="9" t="s">
        <v>20</v>
      </c>
      <c r="E143" s="9" t="s">
        <v>38</v>
      </c>
      <c r="F143" s="9" t="s">
        <v>39</v>
      </c>
      <c r="G143" s="9" t="n">
        <v>8</v>
      </c>
      <c r="H143" s="12" t="n">
        <v>7000</v>
      </c>
      <c r="I143" s="12" t="n">
        <f aca="false">G143*H143</f>
        <v>56000</v>
      </c>
      <c r="J143" s="13" t="n">
        <f aca="false">DATE(YEAR(B143),MONTH(B143),1)</f>
        <v>46174</v>
      </c>
    </row>
    <row r="144" customFormat="false" ht="15" hidden="false" customHeight="false" outlineLevel="0" collapsed="false">
      <c r="A144" s="9" t="s">
        <v>185</v>
      </c>
      <c r="B144" s="11" t="n">
        <v>46035</v>
      </c>
      <c r="C144" s="9" t="s">
        <v>36</v>
      </c>
      <c r="D144" s="9" t="s">
        <v>37</v>
      </c>
      <c r="E144" s="9" t="s">
        <v>38</v>
      </c>
      <c r="F144" s="9" t="s">
        <v>61</v>
      </c>
      <c r="G144" s="9" t="n">
        <v>8</v>
      </c>
      <c r="H144" s="12" t="n">
        <v>9000</v>
      </c>
      <c r="I144" s="12" t="n">
        <f aca="false">G144*H144</f>
        <v>72000</v>
      </c>
      <c r="J144" s="13" t="n">
        <f aca="false">DATE(YEAR(B144),MONTH(B144),1)</f>
        <v>46023</v>
      </c>
    </row>
    <row r="145" customFormat="false" ht="15" hidden="false" customHeight="false" outlineLevel="0" collapsed="false">
      <c r="A145" s="9" t="s">
        <v>186</v>
      </c>
      <c r="B145" s="11" t="n">
        <v>46095</v>
      </c>
      <c r="C145" s="9" t="s">
        <v>19</v>
      </c>
      <c r="D145" s="9" t="s">
        <v>44</v>
      </c>
      <c r="E145" s="9" t="s">
        <v>38</v>
      </c>
      <c r="F145" s="9" t="s">
        <v>39</v>
      </c>
      <c r="G145" s="9" t="n">
        <v>6</v>
      </c>
      <c r="H145" s="12" t="n">
        <v>7000</v>
      </c>
      <c r="I145" s="12" t="n">
        <f aca="false">G145*H145</f>
        <v>42000</v>
      </c>
      <c r="J145" s="13" t="n">
        <f aca="false">DATE(YEAR(B145),MONTH(B145),1)</f>
        <v>46082</v>
      </c>
    </row>
    <row r="146" customFormat="false" ht="15" hidden="false" customHeight="false" outlineLevel="0" collapsed="false">
      <c r="A146" s="9" t="s">
        <v>187</v>
      </c>
      <c r="B146" s="11" t="n">
        <v>46190</v>
      </c>
      <c r="C146" s="9" t="s">
        <v>19</v>
      </c>
      <c r="D146" s="9" t="s">
        <v>20</v>
      </c>
      <c r="E146" s="9" t="s">
        <v>38</v>
      </c>
      <c r="F146" s="9" t="s">
        <v>61</v>
      </c>
      <c r="G146" s="9" t="n">
        <v>7</v>
      </c>
      <c r="H146" s="12" t="n">
        <v>9000</v>
      </c>
      <c r="I146" s="12" t="n">
        <f aca="false">G146*H146</f>
        <v>63000</v>
      </c>
      <c r="J146" s="13" t="n">
        <f aca="false">DATE(YEAR(B146),MONTH(B146),1)</f>
        <v>46174</v>
      </c>
    </row>
    <row r="147" customFormat="false" ht="15" hidden="false" customHeight="false" outlineLevel="0" collapsed="false">
      <c r="A147" s="9" t="s">
        <v>188</v>
      </c>
      <c r="B147" s="11" t="n">
        <v>46123</v>
      </c>
      <c r="C147" s="9" t="s">
        <v>19</v>
      </c>
      <c r="D147" s="9" t="s">
        <v>20</v>
      </c>
      <c r="E147" s="9" t="s">
        <v>24</v>
      </c>
      <c r="F147" s="9" t="s">
        <v>25</v>
      </c>
      <c r="G147" s="9" t="n">
        <v>47</v>
      </c>
      <c r="H147" s="12" t="n">
        <v>350</v>
      </c>
      <c r="I147" s="12" t="n">
        <f aca="false">G147*H147</f>
        <v>16450</v>
      </c>
      <c r="J147" s="13" t="n">
        <f aca="false">DATE(YEAR(B147),MONTH(B147),1)</f>
        <v>46113</v>
      </c>
    </row>
    <row r="148" customFormat="false" ht="15" hidden="false" customHeight="false" outlineLevel="0" collapsed="false">
      <c r="A148" s="9" t="s">
        <v>189</v>
      </c>
      <c r="B148" s="11" t="n">
        <v>46076</v>
      </c>
      <c r="C148" s="9" t="s">
        <v>19</v>
      </c>
      <c r="D148" s="9" t="s">
        <v>44</v>
      </c>
      <c r="E148" s="9" t="s">
        <v>21</v>
      </c>
      <c r="F148" s="9" t="s">
        <v>22</v>
      </c>
      <c r="G148" s="9" t="n">
        <v>1</v>
      </c>
      <c r="H148" s="12" t="n">
        <v>18000</v>
      </c>
      <c r="I148" s="12" t="n">
        <f aca="false">G148*H148</f>
        <v>18000</v>
      </c>
      <c r="J148" s="13" t="n">
        <f aca="false">DATE(YEAR(B148),MONTH(B148),1)</f>
        <v>46054</v>
      </c>
    </row>
    <row r="149" customFormat="false" ht="15" hidden="false" customHeight="false" outlineLevel="0" collapsed="false">
      <c r="A149" s="9" t="s">
        <v>190</v>
      </c>
      <c r="B149" s="11" t="n">
        <v>46138</v>
      </c>
      <c r="C149" s="9" t="s">
        <v>31</v>
      </c>
      <c r="D149" s="9" t="s">
        <v>32</v>
      </c>
      <c r="E149" s="9" t="s">
        <v>24</v>
      </c>
      <c r="F149" s="9" t="s">
        <v>49</v>
      </c>
      <c r="G149" s="9" t="n">
        <v>26</v>
      </c>
      <c r="H149" s="12" t="n">
        <v>120</v>
      </c>
      <c r="I149" s="12" t="n">
        <f aca="false">G149*H149</f>
        <v>3120</v>
      </c>
      <c r="J149" s="13" t="n">
        <f aca="false">DATE(YEAR(B149),MONTH(B149),1)</f>
        <v>46113</v>
      </c>
    </row>
    <row r="150" customFormat="false" ht="15" hidden="false" customHeight="false" outlineLevel="0" collapsed="false">
      <c r="A150" s="9" t="s">
        <v>191</v>
      </c>
      <c r="B150" s="11" t="n">
        <v>46046</v>
      </c>
      <c r="C150" s="9" t="s">
        <v>19</v>
      </c>
      <c r="D150" s="9" t="s">
        <v>20</v>
      </c>
      <c r="E150" s="9" t="s">
        <v>21</v>
      </c>
      <c r="F150" s="9" t="s">
        <v>29</v>
      </c>
      <c r="G150" s="9" t="n">
        <v>2</v>
      </c>
      <c r="H150" s="12" t="n">
        <v>2500</v>
      </c>
      <c r="I150" s="12" t="n">
        <f aca="false">G150*H150</f>
        <v>5000</v>
      </c>
      <c r="J150" s="13" t="n">
        <f aca="false">DATE(YEAR(B150),MONTH(B150),1)</f>
        <v>46023</v>
      </c>
    </row>
    <row r="151" customFormat="false" ht="15" hidden="false" customHeight="false" outlineLevel="0" collapsed="false">
      <c r="A151" s="9" t="s">
        <v>192</v>
      </c>
      <c r="B151" s="11" t="n">
        <v>46084</v>
      </c>
      <c r="C151" s="9" t="s">
        <v>19</v>
      </c>
      <c r="D151" s="9" t="s">
        <v>44</v>
      </c>
      <c r="E151" s="9" t="s">
        <v>21</v>
      </c>
      <c r="F151" s="9" t="s">
        <v>46</v>
      </c>
      <c r="G151" s="9" t="n">
        <v>3</v>
      </c>
      <c r="H151" s="12" t="n">
        <v>25000</v>
      </c>
      <c r="I151" s="12" t="n">
        <f aca="false">G151*H151</f>
        <v>75000</v>
      </c>
      <c r="J151" s="13" t="n">
        <f aca="false">DATE(YEAR(B151),MONTH(B151),1)</f>
        <v>46082</v>
      </c>
    </row>
    <row r="152" customFormat="false" ht="15" hidden="false" customHeight="false" outlineLevel="0" collapsed="false">
      <c r="A152" s="9" t="s">
        <v>193</v>
      </c>
      <c r="B152" s="11" t="n">
        <v>46028</v>
      </c>
      <c r="C152" s="9" t="s">
        <v>19</v>
      </c>
      <c r="D152" s="9" t="s">
        <v>44</v>
      </c>
      <c r="E152" s="9" t="s">
        <v>24</v>
      </c>
      <c r="F152" s="9" t="s">
        <v>34</v>
      </c>
      <c r="G152" s="9" t="n">
        <v>17</v>
      </c>
      <c r="H152" s="12" t="n">
        <v>600</v>
      </c>
      <c r="I152" s="12" t="n">
        <f aca="false">G152*H152</f>
        <v>10200</v>
      </c>
      <c r="J152" s="13" t="n">
        <f aca="false">DATE(YEAR(B152),MONTH(B152),1)</f>
        <v>46023</v>
      </c>
    </row>
    <row r="153" customFormat="false" ht="15" hidden="false" customHeight="false" outlineLevel="0" collapsed="false">
      <c r="A153" s="9" t="s">
        <v>194</v>
      </c>
      <c r="B153" s="11" t="n">
        <v>46119</v>
      </c>
      <c r="C153" s="9" t="s">
        <v>31</v>
      </c>
      <c r="D153" s="9" t="s">
        <v>32</v>
      </c>
      <c r="E153" s="9" t="s">
        <v>24</v>
      </c>
      <c r="F153" s="9" t="s">
        <v>25</v>
      </c>
      <c r="G153" s="9" t="n">
        <v>18</v>
      </c>
      <c r="H153" s="12" t="n">
        <v>350</v>
      </c>
      <c r="I153" s="12" t="n">
        <f aca="false">G153*H153</f>
        <v>6300</v>
      </c>
      <c r="J153" s="13" t="n">
        <f aca="false">DATE(YEAR(B153),MONTH(B153),1)</f>
        <v>46113</v>
      </c>
    </row>
    <row r="154" customFormat="false" ht="15" hidden="false" customHeight="false" outlineLevel="0" collapsed="false">
      <c r="A154" s="9" t="s">
        <v>195</v>
      </c>
      <c r="B154" s="11" t="n">
        <v>46094</v>
      </c>
      <c r="C154" s="9" t="s">
        <v>19</v>
      </c>
      <c r="D154" s="9" t="s">
        <v>44</v>
      </c>
      <c r="E154" s="9" t="s">
        <v>21</v>
      </c>
      <c r="F154" s="9" t="s">
        <v>76</v>
      </c>
      <c r="G154" s="9" t="n">
        <v>4</v>
      </c>
      <c r="H154" s="12" t="n">
        <v>65000</v>
      </c>
      <c r="I154" s="12" t="n">
        <f aca="false">G154*H154</f>
        <v>260000</v>
      </c>
      <c r="J154" s="13" t="n">
        <f aca="false">DATE(YEAR(B154),MONTH(B154),1)</f>
        <v>46082</v>
      </c>
    </row>
    <row r="155" customFormat="false" ht="15" hidden="false" customHeight="false" outlineLevel="0" collapsed="false">
      <c r="A155" s="9" t="s">
        <v>196</v>
      </c>
      <c r="B155" s="11" t="n">
        <v>46184</v>
      </c>
      <c r="C155" s="9" t="s">
        <v>19</v>
      </c>
      <c r="D155" s="9" t="s">
        <v>20</v>
      </c>
      <c r="E155" s="9" t="s">
        <v>24</v>
      </c>
      <c r="F155" s="9" t="s">
        <v>25</v>
      </c>
      <c r="G155" s="9" t="n">
        <v>38</v>
      </c>
      <c r="H155" s="12" t="n">
        <v>350</v>
      </c>
      <c r="I155" s="12" t="n">
        <f aca="false">G155*H155</f>
        <v>13300</v>
      </c>
      <c r="J155" s="13" t="n">
        <f aca="false">DATE(YEAR(B155),MONTH(B155),1)</f>
        <v>46174</v>
      </c>
    </row>
    <row r="156" customFormat="false" ht="15" hidden="false" customHeight="false" outlineLevel="0" collapsed="false">
      <c r="A156" s="9" t="s">
        <v>197</v>
      </c>
      <c r="B156" s="11" t="n">
        <v>46125</v>
      </c>
      <c r="C156" s="9" t="s">
        <v>19</v>
      </c>
      <c r="D156" s="9" t="s">
        <v>44</v>
      </c>
      <c r="E156" s="9" t="s">
        <v>21</v>
      </c>
      <c r="F156" s="9" t="s">
        <v>29</v>
      </c>
      <c r="G156" s="9" t="n">
        <v>4</v>
      </c>
      <c r="H156" s="12" t="n">
        <v>2500</v>
      </c>
      <c r="I156" s="12" t="n">
        <f aca="false">G156*H156</f>
        <v>10000</v>
      </c>
      <c r="J156" s="13" t="n">
        <f aca="false">DATE(YEAR(B156),MONTH(B156),1)</f>
        <v>46113</v>
      </c>
    </row>
    <row r="157" customFormat="false" ht="15" hidden="false" customHeight="false" outlineLevel="0" collapsed="false">
      <c r="A157" s="9" t="s">
        <v>198</v>
      </c>
      <c r="B157" s="11" t="n">
        <v>46055</v>
      </c>
      <c r="C157" s="9" t="s">
        <v>31</v>
      </c>
      <c r="D157" s="9" t="s">
        <v>41</v>
      </c>
      <c r="E157" s="9" t="s">
        <v>38</v>
      </c>
      <c r="F157" s="9" t="s">
        <v>61</v>
      </c>
      <c r="G157" s="9" t="n">
        <v>1</v>
      </c>
      <c r="H157" s="12" t="n">
        <v>9000</v>
      </c>
      <c r="I157" s="12" t="n">
        <f aca="false">G157*H157</f>
        <v>9000</v>
      </c>
      <c r="J157" s="13" t="n">
        <f aca="false">DATE(YEAR(B157),MONTH(B157),1)</f>
        <v>46054</v>
      </c>
    </row>
    <row r="158" customFormat="false" ht="15" hidden="false" customHeight="false" outlineLevel="0" collapsed="false">
      <c r="A158" s="9" t="s">
        <v>199</v>
      </c>
      <c r="B158" s="11" t="n">
        <v>46148</v>
      </c>
      <c r="C158" s="9" t="s">
        <v>31</v>
      </c>
      <c r="D158" s="9" t="s">
        <v>41</v>
      </c>
      <c r="E158" s="9" t="s">
        <v>24</v>
      </c>
      <c r="F158" s="9" t="s">
        <v>49</v>
      </c>
      <c r="G158" s="9" t="n">
        <v>42</v>
      </c>
      <c r="H158" s="12" t="n">
        <v>120</v>
      </c>
      <c r="I158" s="12" t="n">
        <f aca="false">G158*H158</f>
        <v>5040</v>
      </c>
      <c r="J158" s="13" t="n">
        <f aca="false">DATE(YEAR(B158),MONTH(B158),1)</f>
        <v>46143</v>
      </c>
    </row>
    <row r="159" customFormat="false" ht="15" hidden="false" customHeight="false" outlineLevel="0" collapsed="false">
      <c r="A159" s="9" t="s">
        <v>200</v>
      </c>
      <c r="B159" s="11" t="n">
        <v>46142</v>
      </c>
      <c r="C159" s="9" t="s">
        <v>19</v>
      </c>
      <c r="D159" s="9" t="s">
        <v>44</v>
      </c>
      <c r="E159" s="9" t="s">
        <v>24</v>
      </c>
      <c r="F159" s="9" t="s">
        <v>25</v>
      </c>
      <c r="G159" s="9" t="n">
        <v>59</v>
      </c>
      <c r="H159" s="12" t="n">
        <v>350</v>
      </c>
      <c r="I159" s="12" t="n">
        <f aca="false">G159*H159</f>
        <v>20650</v>
      </c>
      <c r="J159" s="13" t="n">
        <f aca="false">DATE(YEAR(B159),MONTH(B159),1)</f>
        <v>46113</v>
      </c>
    </row>
    <row r="160" customFormat="false" ht="15" hidden="false" customHeight="false" outlineLevel="0" collapsed="false">
      <c r="A160" s="9" t="s">
        <v>201</v>
      </c>
      <c r="B160" s="11" t="n">
        <v>46062</v>
      </c>
      <c r="C160" s="9" t="s">
        <v>19</v>
      </c>
      <c r="D160" s="9" t="s">
        <v>20</v>
      </c>
      <c r="E160" s="9" t="s">
        <v>21</v>
      </c>
      <c r="F160" s="9" t="s">
        <v>46</v>
      </c>
      <c r="G160" s="9" t="n">
        <v>2</v>
      </c>
      <c r="H160" s="12" t="n">
        <v>25000</v>
      </c>
      <c r="I160" s="12" t="n">
        <f aca="false">G160*H160</f>
        <v>50000</v>
      </c>
      <c r="J160" s="13" t="n">
        <f aca="false">DATE(YEAR(B160),MONTH(B160),1)</f>
        <v>46054</v>
      </c>
    </row>
    <row r="161" customFormat="false" ht="15" hidden="false" customHeight="false" outlineLevel="0" collapsed="false">
      <c r="A161" s="9" t="s">
        <v>202</v>
      </c>
      <c r="B161" s="11" t="n">
        <v>46044</v>
      </c>
      <c r="C161" s="9" t="s">
        <v>31</v>
      </c>
      <c r="D161" s="9" t="s">
        <v>41</v>
      </c>
      <c r="E161" s="9" t="s">
        <v>21</v>
      </c>
      <c r="F161" s="9" t="s">
        <v>46</v>
      </c>
      <c r="G161" s="9" t="n">
        <v>4</v>
      </c>
      <c r="H161" s="12" t="n">
        <v>25000</v>
      </c>
      <c r="I161" s="12" t="n">
        <f aca="false">G161*H161</f>
        <v>100000</v>
      </c>
      <c r="J161" s="13" t="n">
        <f aca="false">DATE(YEAR(B161),MONTH(B161),1)</f>
        <v>46023</v>
      </c>
    </row>
    <row r="162" customFormat="false" ht="15" hidden="false" customHeight="false" outlineLevel="0" collapsed="false">
      <c r="A162" s="9" t="s">
        <v>203</v>
      </c>
      <c r="B162" s="11" t="n">
        <v>46168</v>
      </c>
      <c r="C162" s="9" t="s">
        <v>19</v>
      </c>
      <c r="D162" s="9" t="s">
        <v>20</v>
      </c>
      <c r="E162" s="9" t="s">
        <v>21</v>
      </c>
      <c r="F162" s="9" t="s">
        <v>22</v>
      </c>
      <c r="G162" s="9" t="n">
        <v>2</v>
      </c>
      <c r="H162" s="12" t="n">
        <v>18000</v>
      </c>
      <c r="I162" s="12" t="n">
        <f aca="false">G162*H162</f>
        <v>36000</v>
      </c>
      <c r="J162" s="13" t="n">
        <f aca="false">DATE(YEAR(B162),MONTH(B162),1)</f>
        <v>46143</v>
      </c>
    </row>
    <row r="163" customFormat="false" ht="15" hidden="false" customHeight="false" outlineLevel="0" collapsed="false">
      <c r="A163" s="9" t="s">
        <v>204</v>
      </c>
      <c r="B163" s="11" t="n">
        <v>46183</v>
      </c>
      <c r="C163" s="9" t="s">
        <v>36</v>
      </c>
      <c r="D163" s="9" t="s">
        <v>37</v>
      </c>
      <c r="E163" s="9" t="s">
        <v>38</v>
      </c>
      <c r="F163" s="9" t="s">
        <v>61</v>
      </c>
      <c r="G163" s="9" t="n">
        <v>3</v>
      </c>
      <c r="H163" s="12" t="n">
        <v>9000</v>
      </c>
      <c r="I163" s="12" t="n">
        <f aca="false">G163*H163</f>
        <v>27000</v>
      </c>
      <c r="J163" s="13" t="n">
        <f aca="false">DATE(YEAR(B163),MONTH(B163),1)</f>
        <v>46174</v>
      </c>
    </row>
    <row r="164" customFormat="false" ht="15" hidden="false" customHeight="false" outlineLevel="0" collapsed="false">
      <c r="A164" s="9" t="s">
        <v>205</v>
      </c>
      <c r="B164" s="11" t="n">
        <v>46051</v>
      </c>
      <c r="C164" s="9" t="s">
        <v>31</v>
      </c>
      <c r="D164" s="9" t="s">
        <v>41</v>
      </c>
      <c r="E164" s="9" t="s">
        <v>38</v>
      </c>
      <c r="F164" s="9" t="s">
        <v>39</v>
      </c>
      <c r="G164" s="9" t="n">
        <v>12</v>
      </c>
      <c r="H164" s="12" t="n">
        <v>7000</v>
      </c>
      <c r="I164" s="12" t="n">
        <f aca="false">G164*H164</f>
        <v>84000</v>
      </c>
      <c r="J164" s="13" t="n">
        <f aca="false">DATE(YEAR(B164),MONTH(B164),1)</f>
        <v>46023</v>
      </c>
    </row>
    <row r="165" customFormat="false" ht="15" hidden="false" customHeight="false" outlineLevel="0" collapsed="false">
      <c r="A165" s="9" t="s">
        <v>206</v>
      </c>
      <c r="B165" s="11" t="n">
        <v>46072</v>
      </c>
      <c r="C165" s="9" t="s">
        <v>19</v>
      </c>
      <c r="D165" s="9" t="s">
        <v>44</v>
      </c>
      <c r="E165" s="9" t="s">
        <v>24</v>
      </c>
      <c r="F165" s="9" t="s">
        <v>25</v>
      </c>
      <c r="G165" s="9" t="n">
        <v>42</v>
      </c>
      <c r="H165" s="12" t="n">
        <v>350</v>
      </c>
      <c r="I165" s="12" t="n">
        <f aca="false">G165*H165</f>
        <v>14700</v>
      </c>
      <c r="J165" s="13" t="n">
        <f aca="false">DATE(YEAR(B165),MONTH(B165),1)</f>
        <v>46054</v>
      </c>
    </row>
    <row r="166" customFormat="false" ht="15" hidden="false" customHeight="false" outlineLevel="0" collapsed="false">
      <c r="A166" s="9" t="s">
        <v>207</v>
      </c>
      <c r="B166" s="11" t="n">
        <v>46025</v>
      </c>
      <c r="C166" s="9" t="s">
        <v>19</v>
      </c>
      <c r="D166" s="9" t="s">
        <v>44</v>
      </c>
      <c r="E166" s="9" t="s">
        <v>24</v>
      </c>
      <c r="F166" s="9" t="s">
        <v>34</v>
      </c>
      <c r="G166" s="9" t="n">
        <v>5</v>
      </c>
      <c r="H166" s="12" t="n">
        <v>600</v>
      </c>
      <c r="I166" s="12" t="n">
        <f aca="false">G166*H166</f>
        <v>3000</v>
      </c>
      <c r="J166" s="13" t="n">
        <f aca="false">DATE(YEAR(B166),MONTH(B166),1)</f>
        <v>46023</v>
      </c>
    </row>
    <row r="167" customFormat="false" ht="15" hidden="false" customHeight="false" outlineLevel="0" collapsed="false">
      <c r="A167" s="9" t="s">
        <v>208</v>
      </c>
      <c r="B167" s="11" t="n">
        <v>46188</v>
      </c>
      <c r="C167" s="9" t="s">
        <v>27</v>
      </c>
      <c r="D167" s="9" t="s">
        <v>28</v>
      </c>
      <c r="E167" s="9" t="s">
        <v>38</v>
      </c>
      <c r="F167" s="9" t="s">
        <v>61</v>
      </c>
      <c r="G167" s="9" t="n">
        <v>6</v>
      </c>
      <c r="H167" s="12" t="n">
        <v>9000</v>
      </c>
      <c r="I167" s="12" t="n">
        <f aca="false">G167*H167</f>
        <v>54000</v>
      </c>
      <c r="J167" s="13" t="n">
        <f aca="false">DATE(YEAR(B167),MONTH(B167),1)</f>
        <v>46174</v>
      </c>
    </row>
    <row r="168" customFormat="false" ht="15" hidden="false" customHeight="false" outlineLevel="0" collapsed="false">
      <c r="A168" s="9" t="s">
        <v>209</v>
      </c>
      <c r="B168" s="11" t="n">
        <v>46086</v>
      </c>
      <c r="C168" s="9" t="s">
        <v>31</v>
      </c>
      <c r="D168" s="9" t="s">
        <v>41</v>
      </c>
      <c r="E168" s="9" t="s">
        <v>21</v>
      </c>
      <c r="F168" s="9" t="s">
        <v>29</v>
      </c>
      <c r="G168" s="9" t="n">
        <v>5</v>
      </c>
      <c r="H168" s="12" t="n">
        <v>2500</v>
      </c>
      <c r="I168" s="12" t="n">
        <f aca="false">G168*H168</f>
        <v>12500</v>
      </c>
      <c r="J168" s="13" t="n">
        <f aca="false">DATE(YEAR(B168),MONTH(B168),1)</f>
        <v>46082</v>
      </c>
    </row>
    <row r="169" customFormat="false" ht="15" hidden="false" customHeight="false" outlineLevel="0" collapsed="false">
      <c r="A169" s="9" t="s">
        <v>210</v>
      </c>
      <c r="B169" s="11" t="n">
        <v>46028</v>
      </c>
      <c r="C169" s="9" t="s">
        <v>27</v>
      </c>
      <c r="D169" s="9" t="s">
        <v>28</v>
      </c>
      <c r="E169" s="9" t="s">
        <v>38</v>
      </c>
      <c r="F169" s="9" t="s">
        <v>61</v>
      </c>
      <c r="G169" s="9" t="n">
        <v>1</v>
      </c>
      <c r="H169" s="12" t="n">
        <v>9000</v>
      </c>
      <c r="I169" s="12" t="n">
        <f aca="false">G169*H169</f>
        <v>9000</v>
      </c>
      <c r="J169" s="13" t="n">
        <f aca="false">DATE(YEAR(B169),MONTH(B169),1)</f>
        <v>46023</v>
      </c>
    </row>
    <row r="170" customFormat="false" ht="15" hidden="false" customHeight="false" outlineLevel="0" collapsed="false">
      <c r="A170" s="9" t="s">
        <v>211</v>
      </c>
      <c r="B170" s="11" t="n">
        <v>46088</v>
      </c>
      <c r="C170" s="9" t="s">
        <v>31</v>
      </c>
      <c r="D170" s="9" t="s">
        <v>41</v>
      </c>
      <c r="E170" s="9" t="s">
        <v>38</v>
      </c>
      <c r="F170" s="9" t="s">
        <v>39</v>
      </c>
      <c r="G170" s="9" t="n">
        <v>2</v>
      </c>
      <c r="H170" s="12" t="n">
        <v>7000</v>
      </c>
      <c r="I170" s="12" t="n">
        <f aca="false">G170*H170</f>
        <v>14000</v>
      </c>
      <c r="J170" s="13" t="n">
        <f aca="false">DATE(YEAR(B170),MONTH(B170),1)</f>
        <v>46082</v>
      </c>
    </row>
    <row r="171" customFormat="false" ht="15" hidden="false" customHeight="false" outlineLevel="0" collapsed="false">
      <c r="A171" s="9" t="s">
        <v>212</v>
      </c>
      <c r="B171" s="11" t="n">
        <v>46149</v>
      </c>
      <c r="C171" s="9" t="s">
        <v>36</v>
      </c>
      <c r="D171" s="9" t="s">
        <v>37</v>
      </c>
      <c r="E171" s="9" t="s">
        <v>38</v>
      </c>
      <c r="F171" s="9" t="s">
        <v>54</v>
      </c>
      <c r="G171" s="9" t="n">
        <v>4</v>
      </c>
      <c r="H171" s="12" t="n">
        <v>15000</v>
      </c>
      <c r="I171" s="12" t="n">
        <f aca="false">G171*H171</f>
        <v>60000</v>
      </c>
      <c r="J171" s="13" t="n">
        <f aca="false">DATE(YEAR(B171),MONTH(B171),1)</f>
        <v>46143</v>
      </c>
    </row>
    <row r="172" customFormat="false" ht="15" hidden="false" customHeight="false" outlineLevel="0" collapsed="false">
      <c r="A172" s="9" t="s">
        <v>213</v>
      </c>
      <c r="B172" s="11" t="n">
        <v>46197</v>
      </c>
      <c r="C172" s="9" t="s">
        <v>36</v>
      </c>
      <c r="D172" s="9" t="s">
        <v>37</v>
      </c>
      <c r="E172" s="9" t="s">
        <v>38</v>
      </c>
      <c r="F172" s="9" t="s">
        <v>39</v>
      </c>
      <c r="G172" s="9" t="n">
        <v>6</v>
      </c>
      <c r="H172" s="12" t="n">
        <v>7000</v>
      </c>
      <c r="I172" s="12" t="n">
        <f aca="false">G172*H172</f>
        <v>42000</v>
      </c>
      <c r="J172" s="13" t="n">
        <f aca="false">DATE(YEAR(B172),MONTH(B172),1)</f>
        <v>46174</v>
      </c>
    </row>
    <row r="173" customFormat="false" ht="15" hidden="false" customHeight="false" outlineLevel="0" collapsed="false">
      <c r="A173" s="9" t="s">
        <v>214</v>
      </c>
      <c r="B173" s="11" t="n">
        <v>46152</v>
      </c>
      <c r="C173" s="9" t="s">
        <v>19</v>
      </c>
      <c r="D173" s="9" t="s">
        <v>20</v>
      </c>
      <c r="E173" s="9" t="s">
        <v>38</v>
      </c>
      <c r="F173" s="9" t="s">
        <v>61</v>
      </c>
      <c r="G173" s="9" t="n">
        <v>12</v>
      </c>
      <c r="H173" s="12" t="n">
        <v>9000</v>
      </c>
      <c r="I173" s="12" t="n">
        <f aca="false">G173*H173</f>
        <v>108000</v>
      </c>
      <c r="J173" s="13" t="n">
        <f aca="false">DATE(YEAR(B173),MONTH(B173),1)</f>
        <v>46143</v>
      </c>
    </row>
    <row r="174" customFormat="false" ht="15" hidden="false" customHeight="false" outlineLevel="0" collapsed="false">
      <c r="A174" s="9" t="s">
        <v>215</v>
      </c>
      <c r="B174" s="11" t="n">
        <v>46072</v>
      </c>
      <c r="C174" s="9" t="s">
        <v>19</v>
      </c>
      <c r="D174" s="9" t="s">
        <v>20</v>
      </c>
      <c r="E174" s="9" t="s">
        <v>21</v>
      </c>
      <c r="F174" s="9" t="s">
        <v>29</v>
      </c>
      <c r="G174" s="9" t="n">
        <v>3</v>
      </c>
      <c r="H174" s="12" t="n">
        <v>2500</v>
      </c>
      <c r="I174" s="12" t="n">
        <f aca="false">G174*H174</f>
        <v>7500</v>
      </c>
      <c r="J174" s="13" t="n">
        <f aca="false">DATE(YEAR(B174),MONTH(B174),1)</f>
        <v>46054</v>
      </c>
    </row>
    <row r="175" customFormat="false" ht="15" hidden="false" customHeight="false" outlineLevel="0" collapsed="false">
      <c r="A175" s="9" t="s">
        <v>216</v>
      </c>
      <c r="B175" s="11" t="n">
        <v>46050</v>
      </c>
      <c r="C175" s="9" t="s">
        <v>31</v>
      </c>
      <c r="D175" s="9" t="s">
        <v>32</v>
      </c>
      <c r="E175" s="9" t="s">
        <v>38</v>
      </c>
      <c r="F175" s="9" t="s">
        <v>61</v>
      </c>
      <c r="G175" s="9" t="n">
        <v>5</v>
      </c>
      <c r="H175" s="12" t="n">
        <v>9000</v>
      </c>
      <c r="I175" s="12" t="n">
        <f aca="false">G175*H175</f>
        <v>45000</v>
      </c>
      <c r="J175" s="13" t="n">
        <f aca="false">DATE(YEAR(B175),MONTH(B175),1)</f>
        <v>46023</v>
      </c>
    </row>
    <row r="176" customFormat="false" ht="15" hidden="false" customHeight="false" outlineLevel="0" collapsed="false">
      <c r="A176" s="9" t="s">
        <v>217</v>
      </c>
      <c r="B176" s="11" t="n">
        <v>46129</v>
      </c>
      <c r="C176" s="9" t="s">
        <v>36</v>
      </c>
      <c r="D176" s="9" t="s">
        <v>37</v>
      </c>
      <c r="E176" s="9" t="s">
        <v>21</v>
      </c>
      <c r="F176" s="9" t="s">
        <v>29</v>
      </c>
      <c r="G176" s="9" t="n">
        <v>4</v>
      </c>
      <c r="H176" s="12" t="n">
        <v>2500</v>
      </c>
      <c r="I176" s="12" t="n">
        <f aca="false">G176*H176</f>
        <v>10000</v>
      </c>
      <c r="J176" s="13" t="n">
        <f aca="false">DATE(YEAR(B176),MONTH(B176),1)</f>
        <v>46113</v>
      </c>
    </row>
    <row r="177" customFormat="false" ht="15" hidden="false" customHeight="false" outlineLevel="0" collapsed="false">
      <c r="A177" s="9" t="s">
        <v>218</v>
      </c>
      <c r="B177" s="11" t="n">
        <v>46036</v>
      </c>
      <c r="C177" s="9" t="s">
        <v>27</v>
      </c>
      <c r="D177" s="9" t="s">
        <v>28</v>
      </c>
      <c r="E177" s="9" t="s">
        <v>21</v>
      </c>
      <c r="F177" s="9" t="s">
        <v>22</v>
      </c>
      <c r="G177" s="9" t="n">
        <v>4</v>
      </c>
      <c r="H177" s="12" t="n">
        <v>18000</v>
      </c>
      <c r="I177" s="12" t="n">
        <f aca="false">G177*H177</f>
        <v>72000</v>
      </c>
      <c r="J177" s="13" t="n">
        <f aca="false">DATE(YEAR(B177),MONTH(B177),1)</f>
        <v>46023</v>
      </c>
    </row>
    <row r="178" customFormat="false" ht="15" hidden="false" customHeight="false" outlineLevel="0" collapsed="false">
      <c r="A178" s="9" t="s">
        <v>219</v>
      </c>
      <c r="B178" s="11" t="n">
        <v>46129</v>
      </c>
      <c r="C178" s="9" t="s">
        <v>19</v>
      </c>
      <c r="D178" s="9" t="s">
        <v>20</v>
      </c>
      <c r="E178" s="9" t="s">
        <v>24</v>
      </c>
      <c r="F178" s="9" t="s">
        <v>34</v>
      </c>
      <c r="G178" s="9" t="n">
        <v>14</v>
      </c>
      <c r="H178" s="12" t="n">
        <v>600</v>
      </c>
      <c r="I178" s="12" t="n">
        <f aca="false">G178*H178</f>
        <v>8400</v>
      </c>
      <c r="J178" s="13" t="n">
        <f aca="false">DATE(YEAR(B178),MONTH(B178),1)</f>
        <v>46113</v>
      </c>
    </row>
    <row r="179" customFormat="false" ht="15" hidden="false" customHeight="false" outlineLevel="0" collapsed="false">
      <c r="A179" s="9" t="s">
        <v>220</v>
      </c>
      <c r="B179" s="11" t="n">
        <v>46138</v>
      </c>
      <c r="C179" s="9" t="s">
        <v>36</v>
      </c>
      <c r="D179" s="9" t="s">
        <v>37</v>
      </c>
      <c r="E179" s="9" t="s">
        <v>21</v>
      </c>
      <c r="F179" s="9" t="s">
        <v>22</v>
      </c>
      <c r="G179" s="9" t="n">
        <v>4</v>
      </c>
      <c r="H179" s="12" t="n">
        <v>18000</v>
      </c>
      <c r="I179" s="12" t="n">
        <f aca="false">G179*H179</f>
        <v>72000</v>
      </c>
      <c r="J179" s="13" t="n">
        <f aca="false">DATE(YEAR(B179),MONTH(B179),1)</f>
        <v>46113</v>
      </c>
    </row>
    <row r="180" customFormat="false" ht="15" hidden="false" customHeight="false" outlineLevel="0" collapsed="false">
      <c r="A180" s="9" t="s">
        <v>221</v>
      </c>
      <c r="B180" s="11" t="n">
        <v>46107</v>
      </c>
      <c r="C180" s="9" t="s">
        <v>51</v>
      </c>
      <c r="D180" s="9" t="s">
        <v>52</v>
      </c>
      <c r="E180" s="9" t="s">
        <v>21</v>
      </c>
      <c r="F180" s="9" t="s">
        <v>46</v>
      </c>
      <c r="G180" s="9" t="n">
        <v>2</v>
      </c>
      <c r="H180" s="12" t="n">
        <v>25000</v>
      </c>
      <c r="I180" s="12" t="n">
        <f aca="false">G180*H180</f>
        <v>50000</v>
      </c>
      <c r="J180" s="13" t="n">
        <f aca="false">DATE(YEAR(B180),MONTH(B180),1)</f>
        <v>46082</v>
      </c>
    </row>
    <row r="181" customFormat="false" ht="15" hidden="false" customHeight="false" outlineLevel="0" collapsed="false">
      <c r="A181" s="9" t="s">
        <v>222</v>
      </c>
      <c r="B181" s="11" t="n">
        <v>46142</v>
      </c>
      <c r="C181" s="9" t="s">
        <v>19</v>
      </c>
      <c r="D181" s="9" t="s">
        <v>20</v>
      </c>
      <c r="E181" s="9" t="s">
        <v>24</v>
      </c>
      <c r="F181" s="9" t="s">
        <v>25</v>
      </c>
      <c r="G181" s="9" t="n">
        <v>52</v>
      </c>
      <c r="H181" s="12" t="n">
        <v>350</v>
      </c>
      <c r="I181" s="12" t="n">
        <f aca="false">G181*H181</f>
        <v>18200</v>
      </c>
      <c r="J181" s="13" t="n">
        <f aca="false">DATE(YEAR(B181),MONTH(B181),1)</f>
        <v>46113</v>
      </c>
    </row>
    <row r="182" customFormat="false" ht="15" hidden="false" customHeight="false" outlineLevel="0" collapsed="false">
      <c r="A182" s="9" t="s">
        <v>223</v>
      </c>
      <c r="B182" s="11" t="n">
        <v>46107</v>
      </c>
      <c r="C182" s="9" t="s">
        <v>19</v>
      </c>
      <c r="D182" s="9" t="s">
        <v>44</v>
      </c>
      <c r="E182" s="9" t="s">
        <v>38</v>
      </c>
      <c r="F182" s="9" t="s">
        <v>39</v>
      </c>
      <c r="G182" s="9" t="n">
        <v>6</v>
      </c>
      <c r="H182" s="12" t="n">
        <v>7000</v>
      </c>
      <c r="I182" s="12" t="n">
        <f aca="false">G182*H182</f>
        <v>42000</v>
      </c>
      <c r="J182" s="13" t="n">
        <f aca="false">DATE(YEAR(B182),MONTH(B182),1)</f>
        <v>46082</v>
      </c>
    </row>
    <row r="183" customFormat="false" ht="15" hidden="false" customHeight="false" outlineLevel="0" collapsed="false">
      <c r="A183" s="9" t="s">
        <v>224</v>
      </c>
      <c r="B183" s="11" t="n">
        <v>46094</v>
      </c>
      <c r="C183" s="9" t="s">
        <v>19</v>
      </c>
      <c r="D183" s="9" t="s">
        <v>20</v>
      </c>
      <c r="E183" s="9" t="s">
        <v>21</v>
      </c>
      <c r="F183" s="9" t="s">
        <v>76</v>
      </c>
      <c r="G183" s="9" t="n">
        <v>1</v>
      </c>
      <c r="H183" s="12" t="n">
        <v>65000</v>
      </c>
      <c r="I183" s="12" t="n">
        <f aca="false">G183*H183</f>
        <v>65000</v>
      </c>
      <c r="J183" s="13" t="n">
        <f aca="false">DATE(YEAR(B183),MONTH(B183),1)</f>
        <v>46082</v>
      </c>
    </row>
    <row r="184" customFormat="false" ht="15" hidden="false" customHeight="false" outlineLevel="0" collapsed="false">
      <c r="A184" s="9" t="s">
        <v>225</v>
      </c>
      <c r="B184" s="11" t="n">
        <v>46076</v>
      </c>
      <c r="C184" s="9" t="s">
        <v>31</v>
      </c>
      <c r="D184" s="9" t="s">
        <v>32</v>
      </c>
      <c r="E184" s="9" t="s">
        <v>21</v>
      </c>
      <c r="F184" s="9" t="s">
        <v>46</v>
      </c>
      <c r="G184" s="9" t="n">
        <v>5</v>
      </c>
      <c r="H184" s="12" t="n">
        <v>25000</v>
      </c>
      <c r="I184" s="12" t="n">
        <f aca="false">G184*H184</f>
        <v>125000</v>
      </c>
      <c r="J184" s="13" t="n">
        <f aca="false">DATE(YEAR(B184),MONTH(B184),1)</f>
        <v>46054</v>
      </c>
    </row>
    <row r="185" customFormat="false" ht="15" hidden="false" customHeight="false" outlineLevel="0" collapsed="false">
      <c r="A185" s="9" t="s">
        <v>226</v>
      </c>
      <c r="B185" s="11" t="n">
        <v>46045</v>
      </c>
      <c r="C185" s="9" t="s">
        <v>31</v>
      </c>
      <c r="D185" s="9" t="s">
        <v>41</v>
      </c>
      <c r="E185" s="9" t="s">
        <v>38</v>
      </c>
      <c r="F185" s="9" t="s">
        <v>61</v>
      </c>
      <c r="G185" s="9" t="n">
        <v>7</v>
      </c>
      <c r="H185" s="12" t="n">
        <v>9000</v>
      </c>
      <c r="I185" s="12" t="n">
        <f aca="false">G185*H185</f>
        <v>63000</v>
      </c>
      <c r="J185" s="13" t="n">
        <f aca="false">DATE(YEAR(B185),MONTH(B185),1)</f>
        <v>46023</v>
      </c>
    </row>
    <row r="186" customFormat="false" ht="15" hidden="false" customHeight="false" outlineLevel="0" collapsed="false">
      <c r="A186" s="9" t="s">
        <v>227</v>
      </c>
      <c r="B186" s="11" t="n">
        <v>46161</v>
      </c>
      <c r="C186" s="9" t="s">
        <v>36</v>
      </c>
      <c r="D186" s="9" t="s">
        <v>37</v>
      </c>
      <c r="E186" s="9" t="s">
        <v>21</v>
      </c>
      <c r="F186" s="9" t="s">
        <v>29</v>
      </c>
      <c r="G186" s="9" t="n">
        <v>3</v>
      </c>
      <c r="H186" s="12" t="n">
        <v>2500</v>
      </c>
      <c r="I186" s="12" t="n">
        <f aca="false">G186*H186</f>
        <v>7500</v>
      </c>
      <c r="J186" s="13" t="n">
        <f aca="false">DATE(YEAR(B186),MONTH(B186),1)</f>
        <v>46143</v>
      </c>
    </row>
    <row r="187" customFormat="false" ht="15" hidden="false" customHeight="false" outlineLevel="0" collapsed="false">
      <c r="A187" s="9" t="s">
        <v>228</v>
      </c>
      <c r="B187" s="11" t="n">
        <v>46144</v>
      </c>
      <c r="C187" s="9" t="s">
        <v>19</v>
      </c>
      <c r="D187" s="9" t="s">
        <v>20</v>
      </c>
      <c r="E187" s="9" t="s">
        <v>38</v>
      </c>
      <c r="F187" s="9" t="s">
        <v>54</v>
      </c>
      <c r="G187" s="9" t="n">
        <v>12</v>
      </c>
      <c r="H187" s="12" t="n">
        <v>15000</v>
      </c>
      <c r="I187" s="12" t="n">
        <f aca="false">G187*H187</f>
        <v>180000</v>
      </c>
      <c r="J187" s="13" t="n">
        <f aca="false">DATE(YEAR(B187),MONTH(B187),1)</f>
        <v>46143</v>
      </c>
    </row>
    <row r="188" customFormat="false" ht="15" hidden="false" customHeight="false" outlineLevel="0" collapsed="false">
      <c r="A188" s="9" t="s">
        <v>229</v>
      </c>
      <c r="B188" s="11" t="n">
        <v>46033</v>
      </c>
      <c r="C188" s="9" t="s">
        <v>36</v>
      </c>
      <c r="D188" s="9" t="s">
        <v>37</v>
      </c>
      <c r="E188" s="9" t="s">
        <v>21</v>
      </c>
      <c r="F188" s="9" t="s">
        <v>29</v>
      </c>
      <c r="G188" s="9" t="n">
        <v>4</v>
      </c>
      <c r="H188" s="12" t="n">
        <v>2500</v>
      </c>
      <c r="I188" s="12" t="n">
        <f aca="false">G188*H188</f>
        <v>10000</v>
      </c>
      <c r="J188" s="13" t="n">
        <f aca="false">DATE(YEAR(B188),MONTH(B188),1)</f>
        <v>46023</v>
      </c>
    </row>
    <row r="189" customFormat="false" ht="15" hidden="false" customHeight="false" outlineLevel="0" collapsed="false">
      <c r="A189" s="9" t="s">
        <v>230</v>
      </c>
      <c r="B189" s="11" t="n">
        <v>46088</v>
      </c>
      <c r="C189" s="9" t="s">
        <v>19</v>
      </c>
      <c r="D189" s="9" t="s">
        <v>20</v>
      </c>
      <c r="E189" s="9" t="s">
        <v>21</v>
      </c>
      <c r="F189" s="9" t="s">
        <v>46</v>
      </c>
      <c r="G189" s="9" t="n">
        <v>1</v>
      </c>
      <c r="H189" s="12" t="n">
        <v>25000</v>
      </c>
      <c r="I189" s="12" t="n">
        <f aca="false">G189*H189</f>
        <v>25000</v>
      </c>
      <c r="J189" s="13" t="n">
        <f aca="false">DATE(YEAR(B189),MONTH(B189),1)</f>
        <v>46082</v>
      </c>
    </row>
    <row r="190" customFormat="false" ht="15" hidden="false" customHeight="false" outlineLevel="0" collapsed="false">
      <c r="A190" s="9" t="s">
        <v>231</v>
      </c>
      <c r="B190" s="11" t="n">
        <v>46115</v>
      </c>
      <c r="C190" s="9" t="s">
        <v>51</v>
      </c>
      <c r="D190" s="9" t="s">
        <v>52</v>
      </c>
      <c r="E190" s="9" t="s">
        <v>24</v>
      </c>
      <c r="F190" s="9" t="s">
        <v>34</v>
      </c>
      <c r="G190" s="9" t="n">
        <v>26</v>
      </c>
      <c r="H190" s="12" t="n">
        <v>600</v>
      </c>
      <c r="I190" s="12" t="n">
        <f aca="false">G190*H190</f>
        <v>15600</v>
      </c>
      <c r="J190" s="13" t="n">
        <f aca="false">DATE(YEAR(B190),MONTH(B190),1)</f>
        <v>46113</v>
      </c>
    </row>
    <row r="191" customFormat="false" ht="15" hidden="false" customHeight="false" outlineLevel="0" collapsed="false">
      <c r="A191" s="9" t="s">
        <v>232</v>
      </c>
      <c r="B191" s="11" t="n">
        <v>46090</v>
      </c>
      <c r="C191" s="9" t="s">
        <v>19</v>
      </c>
      <c r="D191" s="9" t="s">
        <v>44</v>
      </c>
      <c r="E191" s="9" t="s">
        <v>24</v>
      </c>
      <c r="F191" s="9" t="s">
        <v>34</v>
      </c>
      <c r="G191" s="9" t="n">
        <v>7</v>
      </c>
      <c r="H191" s="12" t="n">
        <v>600</v>
      </c>
      <c r="I191" s="12" t="n">
        <f aca="false">G191*H191</f>
        <v>4200</v>
      </c>
      <c r="J191" s="13" t="n">
        <f aca="false">DATE(YEAR(B191),MONTH(B191),1)</f>
        <v>46082</v>
      </c>
    </row>
    <row r="192" customFormat="false" ht="15" hidden="false" customHeight="false" outlineLevel="0" collapsed="false">
      <c r="A192" s="9" t="s">
        <v>233</v>
      </c>
      <c r="B192" s="11" t="n">
        <v>46175</v>
      </c>
      <c r="C192" s="9" t="s">
        <v>27</v>
      </c>
      <c r="D192" s="9" t="s">
        <v>28</v>
      </c>
      <c r="E192" s="9" t="s">
        <v>38</v>
      </c>
      <c r="F192" s="9" t="s">
        <v>61</v>
      </c>
      <c r="G192" s="9" t="n">
        <v>1</v>
      </c>
      <c r="H192" s="12" t="n">
        <v>9000</v>
      </c>
      <c r="I192" s="12" t="n">
        <f aca="false">G192*H192</f>
        <v>9000</v>
      </c>
      <c r="J192" s="13" t="n">
        <f aca="false">DATE(YEAR(B192),MONTH(B192),1)</f>
        <v>46174</v>
      </c>
    </row>
    <row r="193" customFormat="false" ht="15" hidden="false" customHeight="false" outlineLevel="0" collapsed="false">
      <c r="A193" s="9" t="s">
        <v>234</v>
      </c>
      <c r="B193" s="11" t="n">
        <v>46144</v>
      </c>
      <c r="C193" s="9" t="s">
        <v>19</v>
      </c>
      <c r="D193" s="9" t="s">
        <v>44</v>
      </c>
      <c r="E193" s="9" t="s">
        <v>21</v>
      </c>
      <c r="F193" s="9" t="s">
        <v>29</v>
      </c>
      <c r="G193" s="9" t="n">
        <v>1</v>
      </c>
      <c r="H193" s="12" t="n">
        <v>2500</v>
      </c>
      <c r="I193" s="12" t="n">
        <f aca="false">G193*H193</f>
        <v>2500</v>
      </c>
      <c r="J193" s="13" t="n">
        <f aca="false">DATE(YEAR(B193),MONTH(B193),1)</f>
        <v>46143</v>
      </c>
    </row>
    <row r="194" customFormat="false" ht="15" hidden="false" customHeight="false" outlineLevel="0" collapsed="false">
      <c r="A194" s="9" t="s">
        <v>235</v>
      </c>
      <c r="B194" s="11" t="n">
        <v>46133</v>
      </c>
      <c r="C194" s="9" t="s">
        <v>27</v>
      </c>
      <c r="D194" s="9" t="s">
        <v>28</v>
      </c>
      <c r="E194" s="9" t="s">
        <v>38</v>
      </c>
      <c r="F194" s="9" t="s">
        <v>39</v>
      </c>
      <c r="G194" s="9" t="n">
        <v>5</v>
      </c>
      <c r="H194" s="12" t="n">
        <v>7000</v>
      </c>
      <c r="I194" s="12" t="n">
        <f aca="false">G194*H194</f>
        <v>35000</v>
      </c>
      <c r="J194" s="13" t="n">
        <f aca="false">DATE(YEAR(B194),MONTH(B194),1)</f>
        <v>46113</v>
      </c>
    </row>
    <row r="195" customFormat="false" ht="15" hidden="false" customHeight="false" outlineLevel="0" collapsed="false">
      <c r="A195" s="9" t="s">
        <v>236</v>
      </c>
      <c r="B195" s="11" t="n">
        <v>46025</v>
      </c>
      <c r="C195" s="9" t="s">
        <v>19</v>
      </c>
      <c r="D195" s="9" t="s">
        <v>44</v>
      </c>
      <c r="E195" s="9" t="s">
        <v>24</v>
      </c>
      <c r="F195" s="9" t="s">
        <v>49</v>
      </c>
      <c r="G195" s="9" t="n">
        <v>16</v>
      </c>
      <c r="H195" s="12" t="n">
        <v>120</v>
      </c>
      <c r="I195" s="12" t="n">
        <f aca="false">G195*H195</f>
        <v>1920</v>
      </c>
      <c r="J195" s="13" t="n">
        <f aca="false">DATE(YEAR(B195),MONTH(B195),1)</f>
        <v>46023</v>
      </c>
    </row>
    <row r="196" customFormat="false" ht="15" hidden="false" customHeight="false" outlineLevel="0" collapsed="false">
      <c r="A196" s="9" t="s">
        <v>237</v>
      </c>
      <c r="B196" s="11" t="n">
        <v>46083</v>
      </c>
      <c r="C196" s="9" t="s">
        <v>51</v>
      </c>
      <c r="D196" s="9" t="s">
        <v>52</v>
      </c>
      <c r="E196" s="9" t="s">
        <v>21</v>
      </c>
      <c r="F196" s="9" t="s">
        <v>22</v>
      </c>
      <c r="G196" s="9" t="n">
        <v>5</v>
      </c>
      <c r="H196" s="12" t="n">
        <v>18000</v>
      </c>
      <c r="I196" s="12" t="n">
        <f aca="false">G196*H196</f>
        <v>90000</v>
      </c>
      <c r="J196" s="13" t="n">
        <f aca="false">DATE(YEAR(B196),MONTH(B196),1)</f>
        <v>46082</v>
      </c>
    </row>
    <row r="197" customFormat="false" ht="15" hidden="false" customHeight="false" outlineLevel="0" collapsed="false">
      <c r="A197" s="9" t="s">
        <v>238</v>
      </c>
      <c r="B197" s="11" t="n">
        <v>46175</v>
      </c>
      <c r="C197" s="9" t="s">
        <v>51</v>
      </c>
      <c r="D197" s="9" t="s">
        <v>52</v>
      </c>
      <c r="E197" s="9" t="s">
        <v>24</v>
      </c>
      <c r="F197" s="9" t="s">
        <v>49</v>
      </c>
      <c r="G197" s="9" t="n">
        <v>28</v>
      </c>
      <c r="H197" s="12" t="n">
        <v>120</v>
      </c>
      <c r="I197" s="12" t="n">
        <f aca="false">G197*H197</f>
        <v>3360</v>
      </c>
      <c r="J197" s="13" t="n">
        <f aca="false">DATE(YEAR(B197),MONTH(B197),1)</f>
        <v>46174</v>
      </c>
    </row>
    <row r="198" customFormat="false" ht="15" hidden="false" customHeight="false" outlineLevel="0" collapsed="false">
      <c r="A198" s="9" t="s">
        <v>239</v>
      </c>
      <c r="B198" s="11" t="n">
        <v>46086</v>
      </c>
      <c r="C198" s="9" t="s">
        <v>31</v>
      </c>
      <c r="D198" s="9" t="s">
        <v>32</v>
      </c>
      <c r="E198" s="9" t="s">
        <v>38</v>
      </c>
      <c r="F198" s="9" t="s">
        <v>39</v>
      </c>
      <c r="G198" s="9" t="n">
        <v>3</v>
      </c>
      <c r="H198" s="12" t="n">
        <v>7000</v>
      </c>
      <c r="I198" s="12" t="n">
        <f aca="false">G198*H198</f>
        <v>21000</v>
      </c>
      <c r="J198" s="13" t="n">
        <f aca="false">DATE(YEAR(B198),MONTH(B198),1)</f>
        <v>46082</v>
      </c>
    </row>
    <row r="199" customFormat="false" ht="15" hidden="false" customHeight="false" outlineLevel="0" collapsed="false">
      <c r="A199" s="9" t="s">
        <v>240</v>
      </c>
      <c r="B199" s="11" t="n">
        <v>46164</v>
      </c>
      <c r="C199" s="9" t="s">
        <v>19</v>
      </c>
      <c r="D199" s="9" t="s">
        <v>44</v>
      </c>
      <c r="E199" s="9" t="s">
        <v>21</v>
      </c>
      <c r="F199" s="9" t="s">
        <v>76</v>
      </c>
      <c r="G199" s="9" t="n">
        <v>4</v>
      </c>
      <c r="H199" s="12" t="n">
        <v>65000</v>
      </c>
      <c r="I199" s="12" t="n">
        <f aca="false">G199*H199</f>
        <v>260000</v>
      </c>
      <c r="J199" s="13" t="n">
        <f aca="false">DATE(YEAR(B199),MONTH(B199),1)</f>
        <v>46143</v>
      </c>
    </row>
    <row r="200" customFormat="false" ht="15" hidden="false" customHeight="false" outlineLevel="0" collapsed="false">
      <c r="A200" s="9" t="s">
        <v>241</v>
      </c>
      <c r="B200" s="11" t="n">
        <v>46041</v>
      </c>
      <c r="C200" s="9" t="s">
        <v>19</v>
      </c>
      <c r="D200" s="9" t="s">
        <v>44</v>
      </c>
      <c r="E200" s="9" t="s">
        <v>38</v>
      </c>
      <c r="F200" s="9" t="s">
        <v>39</v>
      </c>
      <c r="G200" s="9" t="n">
        <v>2</v>
      </c>
      <c r="H200" s="12" t="n">
        <v>7000</v>
      </c>
      <c r="I200" s="12" t="n">
        <f aca="false">G200*H200</f>
        <v>14000</v>
      </c>
      <c r="J200" s="13" t="n">
        <f aca="false">DATE(YEAR(B200),MONTH(B200),1)</f>
        <v>46023</v>
      </c>
    </row>
    <row r="201" customFormat="false" ht="15" hidden="false" customHeight="false" outlineLevel="0" collapsed="false">
      <c r="A201" s="9" t="s">
        <v>242</v>
      </c>
      <c r="B201" s="11" t="n">
        <v>46130</v>
      </c>
      <c r="C201" s="9" t="s">
        <v>36</v>
      </c>
      <c r="D201" s="9" t="s">
        <v>37</v>
      </c>
      <c r="E201" s="9" t="s">
        <v>21</v>
      </c>
      <c r="F201" s="9" t="s">
        <v>29</v>
      </c>
      <c r="G201" s="9" t="n">
        <v>1</v>
      </c>
      <c r="H201" s="12" t="n">
        <v>2500</v>
      </c>
      <c r="I201" s="12" t="n">
        <f aca="false">G201*H201</f>
        <v>2500</v>
      </c>
      <c r="J201" s="13" t="n">
        <f aca="false">DATE(YEAR(B201),MONTH(B201),1)</f>
        <v>46113</v>
      </c>
    </row>
  </sheetData>
  <autoFilter ref="A1:J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5"/>
  </cols>
  <sheetData>
    <row r="1" customFormat="false" ht="15" hidden="false" customHeight="false" outlineLevel="0" collapsed="false">
      <c r="A1" s="3" t="s">
        <v>243</v>
      </c>
      <c r="D1" s="3" t="s">
        <v>244</v>
      </c>
      <c r="G1" s="3" t="s">
        <v>245</v>
      </c>
      <c r="J1" s="3" t="s">
        <v>246</v>
      </c>
    </row>
    <row r="2" customFormat="false" ht="15" hidden="false" customHeight="false" outlineLevel="0" collapsed="false">
      <c r="A2" s="3" t="s">
        <v>247</v>
      </c>
      <c r="B2" s="3" t="s">
        <v>16</v>
      </c>
      <c r="D2" s="3" t="s">
        <v>247</v>
      </c>
      <c r="E2" s="3" t="s">
        <v>16</v>
      </c>
      <c r="G2" s="3" t="s">
        <v>247</v>
      </c>
      <c r="H2" s="3" t="s">
        <v>16</v>
      </c>
      <c r="J2" s="3" t="s">
        <v>247</v>
      </c>
      <c r="K2" s="3" t="s">
        <v>16</v>
      </c>
    </row>
    <row r="3" customFormat="false" ht="15" hidden="false" customHeight="false" outlineLevel="0" collapsed="false">
      <c r="A3" s="9" t="s">
        <v>19</v>
      </c>
      <c r="B3" s="14" t="n">
        <f aca="false">SUMPRODUCT(((Dashboard!$C$4="All")+(Data!$C$2:$C$201=Dashboard!$C$4)&gt;0)*((Dashboard!$F$4="All")+(Data!$E$2:$E$201=Dashboard!$F$4)&gt;0)*(Data!$C$2:$C$201=A3)*Data!$I$2:$I$201)</f>
        <v>3927650</v>
      </c>
      <c r="D3" s="13" t="n">
        <v>46023</v>
      </c>
      <c r="E3" s="14" t="n">
        <f aca="false">SUMPRODUCT(((Dashboard!$C$4="All")+(Data!$C$2:$C$201=Dashboard!$C$4)&gt;0)*((Dashboard!$F$4="All")+(Data!$E$2:$E$201=Dashboard!$F$4)&gt;0)*(Data!$J$2:$J$201=D3)*Data!$I$2:$I$201)</f>
        <v>2030840</v>
      </c>
      <c r="G3" s="9" t="s">
        <v>21</v>
      </c>
      <c r="H3" s="14" t="n">
        <f aca="false">SUMPRODUCT(((Dashboard!$C$4="All")+(Data!$C$2:$C$201=Dashboard!$C$4)&gt;0)*((Dashboard!$F$4="All")+(Data!$E$2:$E$201=Dashboard!$F$4)&gt;0)*(Data!$E$2:$E$201=G3)*Data!$I$2:$I$201)</f>
        <v>4792500</v>
      </c>
      <c r="J3" s="9" t="s">
        <v>20</v>
      </c>
      <c r="K3" s="14" t="n">
        <f aca="false">SUMPRODUCT(((Dashboard!$C$4="All")+(Data!$C$2:$C$201=Dashboard!$C$4)&gt;0)*((Dashboard!$F$4="All")+(Data!$E$2:$E$201=Dashboard!$F$4)&gt;0)*(Data!$D$2:$D$201=J3)*Data!$I$2:$I$201)</f>
        <v>1899670</v>
      </c>
    </row>
    <row r="4" customFormat="false" ht="15" hidden="false" customHeight="false" outlineLevel="0" collapsed="false">
      <c r="A4" s="9" t="s">
        <v>31</v>
      </c>
      <c r="B4" s="14" t="n">
        <f aca="false">SUMPRODUCT(((Dashboard!$C$4="All")+(Data!$C$2:$C$201=Dashboard!$C$4)&gt;0)*((Dashboard!$F$4="All")+(Data!$E$2:$E$201=Dashboard!$F$4)&gt;0)*(Data!$C$2:$C$201=A4)*Data!$I$2:$I$201)</f>
        <v>2011860</v>
      </c>
      <c r="D4" s="13" t="n">
        <v>46054</v>
      </c>
      <c r="E4" s="14" t="n">
        <f aca="false">SUMPRODUCT(((Dashboard!$C$4="All")+(Data!$C$2:$C$201=Dashboard!$C$4)&gt;0)*((Dashboard!$F$4="All")+(Data!$E$2:$E$201=Dashboard!$F$4)&gt;0)*(Data!$J$2:$J$201=D4)*Data!$I$2:$I$201)</f>
        <v>1812050</v>
      </c>
      <c r="G4" s="9" t="s">
        <v>38</v>
      </c>
      <c r="H4" s="14" t="n">
        <f aca="false">SUMPRODUCT(((Dashboard!$C$4="All")+(Data!$C$2:$C$201=Dashboard!$C$4)&gt;0)*((Dashboard!$F$4="All")+(Data!$E$2:$E$201=Dashboard!$F$4)&gt;0)*(Data!$E$2:$E$201=G4)*Data!$I$2:$I$201)</f>
        <v>3205000</v>
      </c>
      <c r="J4" s="9" t="s">
        <v>44</v>
      </c>
      <c r="K4" s="14" t="n">
        <f aca="false">SUMPRODUCT(((Dashboard!$C$4="All")+(Data!$C$2:$C$201=Dashboard!$C$4)&gt;0)*((Dashboard!$F$4="All")+(Data!$E$2:$E$201=Dashboard!$F$4)&gt;0)*(Data!$D$2:$D$201=J4)*Data!$I$2:$I$201)</f>
        <v>2027980</v>
      </c>
    </row>
    <row r="5" customFormat="false" ht="15" hidden="false" customHeight="false" outlineLevel="0" collapsed="false">
      <c r="A5" s="9" t="s">
        <v>36</v>
      </c>
      <c r="B5" s="14" t="n">
        <f aca="false">SUMPRODUCT(((Dashboard!$C$4="All")+(Data!$C$2:$C$201=Dashboard!$C$4)&gt;0)*((Dashboard!$F$4="All")+(Data!$E$2:$E$201=Dashboard!$F$4)&gt;0)*(Data!$C$2:$C$201=A5)*Data!$I$2:$I$201)</f>
        <v>990500</v>
      </c>
      <c r="D5" s="13" t="n">
        <v>46082</v>
      </c>
      <c r="E5" s="14" t="n">
        <f aca="false">SUMPRODUCT(((Dashboard!$C$4="All")+(Data!$C$2:$C$201=Dashboard!$C$4)&gt;0)*((Dashboard!$F$4="All")+(Data!$E$2:$E$201=Dashboard!$F$4)&gt;0)*(Data!$J$2:$J$201=D5)*Data!$I$2:$I$201)</f>
        <v>1397860</v>
      </c>
      <c r="G5" s="9" t="s">
        <v>24</v>
      </c>
      <c r="H5" s="14" t="n">
        <f aca="false">SUMPRODUCT(((Dashboard!$C$4="All")+(Data!$C$2:$C$201=Dashboard!$C$4)&gt;0)*((Dashboard!$F$4="All")+(Data!$E$2:$E$201=Dashboard!$F$4)&gt;0)*(Data!$E$2:$E$201=G5)*Data!$I$2:$I$201)</f>
        <v>732120</v>
      </c>
      <c r="J5" s="9" t="s">
        <v>41</v>
      </c>
      <c r="K5" s="14" t="n">
        <f aca="false">SUMPRODUCT(((Dashboard!$C$4="All")+(Data!$C$2:$C$201=Dashboard!$C$4)&gt;0)*((Dashboard!$F$4="All")+(Data!$E$2:$E$201=Dashboard!$F$4)&gt;0)*(Data!$D$2:$D$201=J5)*Data!$I$2:$I$201)</f>
        <v>1146040</v>
      </c>
    </row>
    <row r="6" customFormat="false" ht="15" hidden="false" customHeight="false" outlineLevel="0" collapsed="false">
      <c r="A6" s="9" t="s">
        <v>51</v>
      </c>
      <c r="B6" s="14" t="n">
        <f aca="false">SUMPRODUCT(((Dashboard!$C$4="All")+(Data!$C$2:$C$201=Dashboard!$C$4)&gt;0)*((Dashboard!$F$4="All")+(Data!$E$2:$E$201=Dashboard!$F$4)&gt;0)*(Data!$C$2:$C$201=A6)*Data!$I$2:$I$201)</f>
        <v>911690</v>
      </c>
      <c r="D6" s="13" t="n">
        <v>46113</v>
      </c>
      <c r="E6" s="14" t="n">
        <f aca="false">SUMPRODUCT(((Dashboard!$C$4="All")+(Data!$C$2:$C$201=Dashboard!$C$4)&gt;0)*((Dashboard!$F$4="All")+(Data!$E$2:$E$201=Dashboard!$F$4)&gt;0)*(Data!$J$2:$J$201=D6)*Data!$I$2:$I$201)</f>
        <v>1282780</v>
      </c>
      <c r="J6" s="9" t="s">
        <v>32</v>
      </c>
      <c r="K6" s="14" t="n">
        <f aca="false">SUMPRODUCT(((Dashboard!$C$4="All")+(Data!$C$2:$C$201=Dashboard!$C$4)&gt;0)*((Dashboard!$F$4="All")+(Data!$E$2:$E$201=Dashboard!$F$4)&gt;0)*(Data!$D$2:$D$201=J6)*Data!$I$2:$I$201)</f>
        <v>865820</v>
      </c>
    </row>
    <row r="7" customFormat="false" ht="15" hidden="false" customHeight="false" outlineLevel="0" collapsed="false">
      <c r="A7" s="9" t="s">
        <v>27</v>
      </c>
      <c r="B7" s="14" t="n">
        <f aca="false">SUMPRODUCT(((Dashboard!$C$4="All")+(Data!$C$2:$C$201=Dashboard!$C$4)&gt;0)*((Dashboard!$F$4="All")+(Data!$E$2:$E$201=Dashboard!$F$4)&gt;0)*(Data!$C$2:$C$201=A7)*Data!$I$2:$I$201)</f>
        <v>887920</v>
      </c>
      <c r="D7" s="13" t="n">
        <v>46143</v>
      </c>
      <c r="E7" s="14" t="n">
        <f aca="false">SUMPRODUCT(((Dashboard!$C$4="All")+(Data!$C$2:$C$201=Dashboard!$C$4)&gt;0)*((Dashboard!$F$4="All")+(Data!$E$2:$E$201=Dashboard!$F$4)&gt;0)*(Data!$J$2:$J$201=D7)*Data!$I$2:$I$201)</f>
        <v>1397010</v>
      </c>
      <c r="J7" s="9" t="s">
        <v>37</v>
      </c>
      <c r="K7" s="14" t="n">
        <f aca="false">SUMPRODUCT(((Dashboard!$C$4="All")+(Data!$C$2:$C$201=Dashboard!$C$4)&gt;0)*((Dashboard!$F$4="All")+(Data!$E$2:$E$201=Dashboard!$F$4)&gt;0)*(Data!$D$2:$D$201=J7)*Data!$I$2:$I$201)</f>
        <v>990500</v>
      </c>
    </row>
    <row r="8" customFormat="false" ht="15" hidden="false" customHeight="false" outlineLevel="0" collapsed="false">
      <c r="D8" s="13" t="n">
        <v>46174</v>
      </c>
      <c r="E8" s="14" t="n">
        <f aca="false">SUMPRODUCT(((Dashboard!$C$4="All")+(Data!$C$2:$C$201=Dashboard!$C$4)&gt;0)*((Dashboard!$F$4="All")+(Data!$E$2:$E$201=Dashboard!$F$4)&gt;0)*(Data!$J$2:$J$201=D8)*Data!$I$2:$I$201)</f>
        <v>809080</v>
      </c>
      <c r="J8" s="9" t="s">
        <v>52</v>
      </c>
      <c r="K8" s="14" t="n">
        <f aca="false">SUMPRODUCT(((Dashboard!$C$4="All")+(Data!$C$2:$C$201=Dashboard!$C$4)&gt;0)*((Dashboard!$F$4="All")+(Data!$E$2:$E$201=Dashboard!$F$4)&gt;0)*(Data!$D$2:$D$201=J8)*Data!$I$2:$I$201)</f>
        <v>911690</v>
      </c>
    </row>
    <row r="9" customFormat="false" ht="15" hidden="false" customHeight="false" outlineLevel="0" collapsed="false">
      <c r="J9" s="9" t="s">
        <v>28</v>
      </c>
      <c r="K9" s="14" t="n">
        <f aca="false">SUMPRODUCT(((Dashboard!$C$4="All")+(Data!$C$2:$C$201=Dashboard!$C$4)&gt;0)*((Dashboard!$F$4="All")+(Data!$E$2:$E$201=Dashboard!$F$4)&gt;0)*(Data!$D$2:$D$201=J9)*Data!$I$2:$I$201)</f>
        <v>887920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2026-10-18T10:04:06Z</dcterms:created>
  <dc:creator>openpyxl</dc:creator>
  <dc:description/>
  <dc:language>en-US</dc:language>
  <cp:lastModifiedBy/>
  <dcterms:modified xsi:type="dcterms:W3CDTF">2026-10-18T16:04:08Z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