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Cleaning Steps" sheetId="3" state="visible" r:id="rId5"/>
    <sheet name="Clean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<sst xmlns="http://schemas.openxmlformats.org/spreadsheetml/2006/main" count="187" uniqueCount="133">
  <si>
    <t xml:space="preserve">Customer Data Cleaning</t>
  </si>
  <si>
    <t xml:space="preserve">A raw customer list of 27 rows was cleaned into 22 unique, analysis-ready records.</t>
  </si>
  <si>
    <t xml:space="preserve">Issue found</t>
  </si>
  <si>
    <t xml:space="preserve">Rows affected</t>
  </si>
  <si>
    <t xml:space="preserve">How it was fixed</t>
  </si>
  <si>
    <t xml:space="preserve">Extra spaces and wrong capital letters in names</t>
  </si>
  <si>
    <t xml:space="preserve">TRIM + PROPER</t>
  </si>
  <si>
    <t xml:space="preserve">Same city written in different ways (dhaka, DHAKA, Dhaka )</t>
  </si>
  <si>
    <t xml:space="preserve">Phone numbers with dashes or spaces</t>
  </si>
  <si>
    <t xml:space="preserve">SUBSTITUTE to remove "-" and " "</t>
  </si>
  <si>
    <t xml:space="preserve">Completely blank rows</t>
  </si>
  <si>
    <t xml:space="preserve">Filter blanks, delete rows</t>
  </si>
  <si>
    <t xml:space="preserve">Duplicate customers (same name and phone)</t>
  </si>
  <si>
    <t xml:space="preserve">Remove Duplicates on Name + Phone</t>
  </si>
  <si>
    <t xml:space="preserve">Customers and amount by city (from Clean Data)</t>
  </si>
  <si>
    <t xml:space="preserve">City</t>
  </si>
  <si>
    <t xml:space="preserve">Customers</t>
  </si>
  <si>
    <t xml:space="preserve">Total Amount (BDT)</t>
  </si>
  <si>
    <t xml:space="preserve">Dhaka</t>
  </si>
  <si>
    <t xml:space="preserve">Chattogram</t>
  </si>
  <si>
    <t xml:space="preserve">Sylhet</t>
  </si>
  <si>
    <t xml:space="preserve">Khulna</t>
  </si>
  <si>
    <t xml:space="preserve">Rajshahi</t>
  </si>
  <si>
    <t xml:space="preserve">Rangpur</t>
  </si>
  <si>
    <t xml:space="preserve">Mymensingh</t>
  </si>
  <si>
    <t xml:space="preserve">Barishal</t>
  </si>
  <si>
    <t xml:space="preserve">Total</t>
  </si>
  <si>
    <t xml:space="preserve">Name</t>
  </si>
  <si>
    <t xml:space="preserve">Phone</t>
  </si>
  <si>
    <t xml:space="preserve">Amount (BDT)</t>
  </si>
  <si>
    <t xml:space="preserve">RAHIM UDDIN</t>
  </si>
  <si>
    <t xml:space="preserve">dhaka</t>
  </si>
  <si>
    <t xml:space="preserve">01711-223344</t>
  </si>
  <si>
    <t xml:space="preserve">nusrat jahan</t>
  </si>
  <si>
    <t xml:space="preserve"> CHATTOGRAM </t>
  </si>
  <si>
    <t xml:space="preserve">01812 556677</t>
  </si>
  <si>
    <t xml:space="preserve">  Karim Ahmed  </t>
  </si>
  <si>
    <t xml:space="preserve">01913889900</t>
  </si>
  <si>
    <t xml:space="preserve">Tania Akter</t>
  </si>
  <si>
    <t xml:space="preserve">Khulna </t>
  </si>
  <si>
    <t xml:space="preserve">01614-112233</t>
  </si>
  <si>
    <t xml:space="preserve">Fahim  Hasan</t>
  </si>
  <si>
    <t xml:space="preserve">rajshahi</t>
  </si>
  <si>
    <t xml:space="preserve">01515 445566</t>
  </si>
  <si>
    <t xml:space="preserve">SADIA ISLAM</t>
  </si>
  <si>
    <t xml:space="preserve"> DHAKA </t>
  </si>
  <si>
    <t xml:space="preserve">01716778899</t>
  </si>
  <si>
    <t xml:space="preserve">arif hossain</t>
  </si>
  <si>
    <t xml:space="preserve">01817-990011</t>
  </si>
  <si>
    <t xml:space="preserve">  Mitu Rani  </t>
  </si>
  <si>
    <t xml:space="preserve">Barishal </t>
  </si>
  <si>
    <t xml:space="preserve">01918 221133</t>
  </si>
  <si>
    <t xml:space="preserve">Karim  Ahmed</t>
  </si>
  <si>
    <t xml:space="preserve">sylhet</t>
  </si>
  <si>
    <t xml:space="preserve">01913 889900</t>
  </si>
  <si>
    <t xml:space="preserve">Jamal Sheikh</t>
  </si>
  <si>
    <t xml:space="preserve">rangpur</t>
  </si>
  <si>
    <t xml:space="preserve">01619334455</t>
  </si>
  <si>
    <t xml:space="preserve">Lima  Khatun</t>
  </si>
  <si>
    <t xml:space="preserve">01720-556600</t>
  </si>
  <si>
    <t xml:space="preserve">SOHEL RANA</t>
  </si>
  <si>
    <t xml:space="preserve">01821 667788</t>
  </si>
  <si>
    <t xml:space="preserve">rina begum</t>
  </si>
  <si>
    <t xml:space="preserve">Sylhet </t>
  </si>
  <si>
    <t xml:space="preserve">01922778800</t>
  </si>
  <si>
    <t xml:space="preserve">  Imran Kabir  </t>
  </si>
  <si>
    <t xml:space="preserve">khulna</t>
  </si>
  <si>
    <t xml:space="preserve">01623-889911</t>
  </si>
  <si>
    <t xml:space="preserve">Shila Das</t>
  </si>
  <si>
    <t xml:space="preserve">01724 990022</t>
  </si>
  <si>
    <t xml:space="preserve">Tanvir  Alam</t>
  </si>
  <si>
    <t xml:space="preserve">01825112244</t>
  </si>
  <si>
    <t xml:space="preserve">sohel rana</t>
  </si>
  <si>
    <t xml:space="preserve">MONI AKTER</t>
  </si>
  <si>
    <t xml:space="preserve">Dhaka </t>
  </si>
  <si>
    <t xml:space="preserve">01926-223355</t>
  </si>
  <si>
    <t xml:space="preserve">rashed khan</t>
  </si>
  <si>
    <t xml:space="preserve">chattogram</t>
  </si>
  <si>
    <t xml:space="preserve">01627 334466</t>
  </si>
  <si>
    <t xml:space="preserve">  Papia Sultana  </t>
  </si>
  <si>
    <t xml:space="preserve"> RAJSHAHI </t>
  </si>
  <si>
    <t xml:space="preserve">01728445577</t>
  </si>
  <si>
    <t xml:space="preserve">Habib Mia</t>
  </si>
  <si>
    <t xml:space="preserve">01829-556688</t>
  </si>
  <si>
    <t xml:space="preserve">Rahim Uddin</t>
  </si>
  <si>
    <t xml:space="preserve">Nadia  Rahman</t>
  </si>
  <si>
    <t xml:space="preserve">01930 667799</t>
  </si>
  <si>
    <t xml:space="preserve">KAMRUL ISLAM</t>
  </si>
  <si>
    <t xml:space="preserve">01631778800</t>
  </si>
  <si>
    <t xml:space="preserve">farzana haque</t>
  </si>
  <si>
    <t xml:space="preserve">01732-889911</t>
  </si>
  <si>
    <t xml:space="preserve">Raw Name</t>
  </si>
  <si>
    <t xml:space="preserve">Raw City</t>
  </si>
  <si>
    <t xml:space="preserve">Raw Phone</t>
  </si>
  <si>
    <t xml:space="preserve">Amount</t>
  </si>
  <si>
    <t xml:space="preserve">Clean Name</t>
  </si>
  <si>
    <t xml:space="preserve">Clean City</t>
  </si>
  <si>
    <t xml:space="preserve">Clean Phone</t>
  </si>
  <si>
    <t xml:space="preserve">Blank row?</t>
  </si>
  <si>
    <t xml:space="preserve">Duplicate?</t>
  </si>
  <si>
    <t xml:space="preserve">Rows marked red are removed in Clean Data. Kept rows:</t>
  </si>
  <si>
    <t xml:space="preserve">01711223344</t>
  </si>
  <si>
    <t xml:space="preserve">Nusrat Jahan</t>
  </si>
  <si>
    <t xml:space="preserve">01812556677</t>
  </si>
  <si>
    <t xml:space="preserve">Karim Ahmed</t>
  </si>
  <si>
    <t xml:space="preserve">01614112233</t>
  </si>
  <si>
    <t xml:space="preserve">Fahim Hasan</t>
  </si>
  <si>
    <t xml:space="preserve">01515445566</t>
  </si>
  <si>
    <t xml:space="preserve">Sadia Islam</t>
  </si>
  <si>
    <t xml:space="preserve">Arif Hossain</t>
  </si>
  <si>
    <t xml:space="preserve">01817990011</t>
  </si>
  <si>
    <t xml:space="preserve">Mitu Rani</t>
  </si>
  <si>
    <t xml:space="preserve">01918221133</t>
  </si>
  <si>
    <t xml:space="preserve">Lima Khatun</t>
  </si>
  <si>
    <t xml:space="preserve">01720556600</t>
  </si>
  <si>
    <t xml:space="preserve">Sohel Rana</t>
  </si>
  <si>
    <t xml:space="preserve">01821667788</t>
  </si>
  <si>
    <t xml:space="preserve">Rina Begum</t>
  </si>
  <si>
    <t xml:space="preserve">Imran Kabir</t>
  </si>
  <si>
    <t xml:space="preserve">01623889911</t>
  </si>
  <si>
    <t xml:space="preserve">01724990022</t>
  </si>
  <si>
    <t xml:space="preserve">Tanvir Alam</t>
  </si>
  <si>
    <t xml:space="preserve">Moni Akter</t>
  </si>
  <si>
    <t xml:space="preserve">01926223355</t>
  </si>
  <si>
    <t xml:space="preserve">Rashed Khan</t>
  </si>
  <si>
    <t xml:space="preserve">01627334466</t>
  </si>
  <si>
    <t xml:space="preserve">Papia Sultana</t>
  </si>
  <si>
    <t xml:space="preserve">01829556688</t>
  </si>
  <si>
    <t xml:space="preserve">Nadia Rahman</t>
  </si>
  <si>
    <t xml:space="preserve">01930667799</t>
  </si>
  <si>
    <t xml:space="preserve">Kamrul Islam</t>
  </si>
  <si>
    <t xml:space="preserve">Farzana Haque</t>
  </si>
  <si>
    <t xml:space="preserve">01732889911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</si>
</sst>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2" t="s">
        <v>5</v>
      </c>
      <c r="B5" s="2" t="n">
        <v>20</v>
      </c>
      <c r="C5" s="2" t="s">
        <v>6</v>
      </c>
    </row>
    <row r="6" customFormat="false" ht="15" hidden="false" customHeight="false" outlineLevel="0" collapsed="false">
      <c r="A6" s="2" t="s">
        <v>7</v>
      </c>
      <c r="B6" s="2" t="n">
        <v>20</v>
      </c>
      <c r="C6" s="2" t="s">
        <v>6</v>
      </c>
    </row>
    <row r="7" customFormat="false" ht="15" hidden="false" customHeight="false" outlineLevel="0" collapsed="false">
      <c r="A7" s="2" t="s">
        <v>8</v>
      </c>
      <c r="B7" s="2" t="n">
        <v>18</v>
      </c>
      <c r="C7" s="2" t="s">
        <v>9</v>
      </c>
    </row>
    <row r="8" customFormat="false" ht="15" hidden="false" customHeight="false" outlineLevel="0" collapsed="false">
      <c r="A8" s="2" t="s">
        <v>10</v>
      </c>
      <c r="B8" s="2" t="n">
        <v>2</v>
      </c>
      <c r="C8" s="2" t="s">
        <v>11</v>
      </c>
    </row>
    <row r="9" customFormat="false" ht="15" hidden="false" customHeight="false" outlineLevel="0" collapsed="false">
      <c r="A9" s="2" t="s">
        <v>12</v>
      </c>
      <c r="B9" s="2" t="n">
        <v>3</v>
      </c>
      <c r="C9" s="2" t="s">
        <v>13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3" t="s">
        <v>15</v>
      </c>
      <c r="B12" s="3" t="s">
        <v>16</v>
      </c>
      <c r="C12" s="3" t="s">
        <v>17</v>
      </c>
    </row>
    <row r="13" customFormat="false" ht="15" hidden="false" customHeight="false" outlineLevel="0" collapsed="false">
      <c r="A13" s="2" t="s">
        <v>18</v>
      </c>
      <c r="B13" s="2" t="n">
        <f aca="false">COUNTIF('Clean Data'!$B$2:$B$23,A13)</f>
        <v>8</v>
      </c>
      <c r="C13" s="5" t="n">
        <f aca="false">SUMIF('Clean Data'!$B$2:$B$23,A13,'Clean Data'!$D$2:$D$23)</f>
        <v>43500</v>
      </c>
    </row>
    <row r="14" customFormat="false" ht="15" hidden="false" customHeight="false" outlineLevel="0" collapsed="false">
      <c r="A14" s="2" t="s">
        <v>19</v>
      </c>
      <c r="B14" s="2" t="n">
        <f aca="false">COUNTIF('Clean Data'!$B$2:$B$23,A14)</f>
        <v>3</v>
      </c>
      <c r="C14" s="5" t="n">
        <f aca="false">SUMIF('Clean Data'!$B$2:$B$23,A14,'Clean Data'!$D$2:$D$23)</f>
        <v>17800</v>
      </c>
    </row>
    <row r="15" customFormat="false" ht="15" hidden="false" customHeight="false" outlineLevel="0" collapsed="false">
      <c r="A15" s="2" t="s">
        <v>20</v>
      </c>
      <c r="B15" s="2" t="n">
        <f aca="false">COUNTIF('Clean Data'!$B$2:$B$23,A15)</f>
        <v>3</v>
      </c>
      <c r="C15" s="5" t="n">
        <f aca="false">SUMIF('Clean Data'!$B$2:$B$23,A15,'Clean Data'!$D$2:$D$23)</f>
        <v>14500</v>
      </c>
    </row>
    <row r="16" customFormat="false" ht="15" hidden="false" customHeight="false" outlineLevel="0" collapsed="false">
      <c r="A16" s="2" t="s">
        <v>21</v>
      </c>
      <c r="B16" s="2" t="n">
        <f aca="false">COUNTIF('Clean Data'!$B$2:$B$23,A16)</f>
        <v>3</v>
      </c>
      <c r="C16" s="5" t="n">
        <f aca="false">SUMIF('Clean Data'!$B$2:$B$23,A16,'Clean Data'!$D$2:$D$23)</f>
        <v>12800</v>
      </c>
    </row>
    <row r="17" customFormat="false" ht="15" hidden="false" customHeight="false" outlineLevel="0" collapsed="false">
      <c r="A17" s="2" t="s">
        <v>22</v>
      </c>
      <c r="B17" s="2" t="n">
        <f aca="false">COUNTIF('Clean Data'!$B$2:$B$23,A17)</f>
        <v>2</v>
      </c>
      <c r="C17" s="5" t="n">
        <f aca="false">SUMIF('Clean Data'!$B$2:$B$23,A17,'Clean Data'!$D$2:$D$23)</f>
        <v>12500</v>
      </c>
    </row>
    <row r="18" customFormat="false" ht="15" hidden="false" customHeight="false" outlineLevel="0" collapsed="false">
      <c r="A18" s="2" t="s">
        <v>23</v>
      </c>
      <c r="B18" s="2" t="n">
        <f aca="false">COUNTIF('Clean Data'!$B$2:$B$23,A18)</f>
        <v>1</v>
      </c>
      <c r="C18" s="5" t="n">
        <f aca="false">SUMIF('Clean Data'!$B$2:$B$23,A18,'Clean Data'!$D$2:$D$23)</f>
        <v>5100</v>
      </c>
    </row>
    <row r="19" customFormat="false" ht="15" hidden="false" customHeight="false" outlineLevel="0" collapsed="false">
      <c r="A19" s="2" t="s">
        <v>24</v>
      </c>
      <c r="B19" s="2" t="n">
        <f aca="false">COUNTIF('Clean Data'!$B$2:$B$23,A19)</f>
        <v>1</v>
      </c>
      <c r="C19" s="5" t="n">
        <f aca="false">SUMIF('Clean Data'!$B$2:$B$23,A19,'Clean Data'!$D$2:$D$23)</f>
        <v>3300</v>
      </c>
    </row>
    <row r="20" customFormat="false" ht="15" hidden="false" customHeight="false" outlineLevel="0" collapsed="false">
      <c r="A20" s="2" t="s">
        <v>25</v>
      </c>
      <c r="B20" s="2" t="n">
        <f aca="false">COUNTIF('Clean Data'!$B$2:$B$23,A20)</f>
        <v>1</v>
      </c>
      <c r="C20" s="5" t="n">
        <f aca="false">SUMIF('Clean Data'!$B$2:$B$23,A20,'Clean Data'!$D$2:$D$23)</f>
        <v>1800</v>
      </c>
    </row>
    <row r="21" customFormat="false" ht="15" hidden="false" customHeight="false" outlineLevel="0" collapsed="false">
      <c r="A21" s="4" t="s">
        <v>26</v>
      </c>
      <c r="B21" s="4" t="n">
        <f aca="false">SUM(B13:B20)</f>
        <v>22</v>
      </c>
      <c r="C21" s="6" t="n">
        <f aca="false">SUM(C13:C20)</f>
        <v>111300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26.85" hidden="false" customHeight="false" outlineLevel="0" collapsed="false">
      <c r="A1" s="3" t="s">
        <v>27</v>
      </c>
      <c r="B1" s="3" t="s">
        <v>15</v>
      </c>
      <c r="C1" s="3" t="s">
        <v>28</v>
      </c>
      <c r="D1" s="3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n">
        <v>5200</v>
      </c>
    </row>
    <row r="3" customFormat="false" ht="15" hidden="false" customHeight="false" outlineLevel="0" collapsed="false">
      <c r="A3" s="2" t="s">
        <v>33</v>
      </c>
      <c r="B3" s="2" t="s">
        <v>34</v>
      </c>
      <c r="C3" s="2" t="s">
        <v>35</v>
      </c>
      <c r="D3" s="2" t="n">
        <v>3400</v>
      </c>
    </row>
    <row r="4" customFormat="false" ht="15" hidden="false" customHeight="false" outlineLevel="0" collapsed="false">
      <c r="A4" s="2" t="s">
        <v>36</v>
      </c>
      <c r="B4" s="2" t="s">
        <v>20</v>
      </c>
      <c r="C4" s="2" t="s">
        <v>37</v>
      </c>
      <c r="D4" s="2" t="n">
        <v>7800</v>
      </c>
    </row>
    <row r="5" customFormat="false" ht="15" hidden="false" customHeight="false" outlineLevel="0" collapsed="false">
      <c r="A5" s="2" t="s">
        <v>38</v>
      </c>
      <c r="B5" s="2" t="s">
        <v>39</v>
      </c>
      <c r="C5" s="2" t="s">
        <v>40</v>
      </c>
      <c r="D5" s="2" t="n">
        <v>2100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43</v>
      </c>
      <c r="D6" s="2" t="n">
        <v>9600</v>
      </c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n">
        <v>4300</v>
      </c>
    </row>
    <row r="9" customFormat="false" ht="15" hidden="false" customHeight="false" outlineLevel="0" collapsed="false">
      <c r="A9" s="2" t="s">
        <v>47</v>
      </c>
      <c r="B9" s="2" t="s">
        <v>18</v>
      </c>
      <c r="C9" s="2" t="s">
        <v>48</v>
      </c>
      <c r="D9" s="2" t="n">
        <v>6500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n">
        <v>1800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n">
        <v>7800</v>
      </c>
    </row>
    <row r="12" customFormat="false" ht="15" hidden="false" customHeight="false" outlineLevel="0" collapsed="false">
      <c r="A12" s="2" t="s">
        <v>55</v>
      </c>
      <c r="B12" s="2" t="s">
        <v>56</v>
      </c>
      <c r="C12" s="2" t="s">
        <v>57</v>
      </c>
      <c r="D12" s="2" t="n">
        <v>5100</v>
      </c>
    </row>
    <row r="13" customFormat="false" ht="15" hidden="false" customHeight="false" outlineLevel="0" collapsed="false">
      <c r="A13" s="2" t="s">
        <v>58</v>
      </c>
      <c r="B13" s="2" t="s">
        <v>45</v>
      </c>
      <c r="C13" s="2" t="s">
        <v>59</v>
      </c>
      <c r="D13" s="2" t="n">
        <v>3900</v>
      </c>
    </row>
    <row r="14" customFormat="false" ht="15" hidden="false" customHeight="false" outlineLevel="0" collapsed="false">
      <c r="A14" s="2" t="s">
        <v>60</v>
      </c>
      <c r="B14" s="2" t="s">
        <v>19</v>
      </c>
      <c r="C14" s="2" t="s">
        <v>61</v>
      </c>
      <c r="D14" s="2" t="n">
        <v>8200</v>
      </c>
    </row>
    <row r="15" customFormat="false" ht="15" hidden="false" customHeight="false" outlineLevel="0" collapsed="false">
      <c r="A15" s="2" t="s">
        <v>62</v>
      </c>
      <c r="B15" s="2" t="s">
        <v>63</v>
      </c>
      <c r="C15" s="2" t="s">
        <v>64</v>
      </c>
      <c r="D15" s="2" t="n">
        <v>2600</v>
      </c>
    </row>
    <row r="16" customFormat="false" ht="15" hidden="false" customHeight="false" outlineLevel="0" collapsed="false">
      <c r="A16" s="2" t="s">
        <v>65</v>
      </c>
      <c r="B16" s="2" t="s">
        <v>66</v>
      </c>
      <c r="C16" s="2" t="s">
        <v>67</v>
      </c>
      <c r="D16" s="2" t="n">
        <v>7100</v>
      </c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2" t="s">
        <v>68</v>
      </c>
      <c r="B18" s="2" t="s">
        <v>45</v>
      </c>
      <c r="C18" s="2" t="s">
        <v>69</v>
      </c>
      <c r="D18" s="2" t="n">
        <v>4800</v>
      </c>
    </row>
    <row r="19" customFormat="false" ht="15" hidden="false" customHeight="false" outlineLevel="0" collapsed="false">
      <c r="A19" s="2" t="s">
        <v>70</v>
      </c>
      <c r="B19" s="2" t="s">
        <v>24</v>
      </c>
      <c r="C19" s="2" t="s">
        <v>71</v>
      </c>
      <c r="D19" s="2" t="n">
        <v>3300</v>
      </c>
    </row>
    <row r="20" customFormat="false" ht="15" hidden="false" customHeight="false" outlineLevel="0" collapsed="false">
      <c r="A20" s="2" t="s">
        <v>72</v>
      </c>
      <c r="B20" s="2" t="s">
        <v>34</v>
      </c>
      <c r="C20" s="2" t="s">
        <v>61</v>
      </c>
      <c r="D20" s="2" t="n">
        <v>8200</v>
      </c>
    </row>
    <row r="21" customFormat="false" ht="15" hidden="false" customHeight="false" outlineLevel="0" collapsed="false">
      <c r="A21" s="2" t="s">
        <v>73</v>
      </c>
      <c r="B21" s="2" t="s">
        <v>74</v>
      </c>
      <c r="C21" s="2" t="s">
        <v>75</v>
      </c>
      <c r="D21" s="2" t="n">
        <v>5900</v>
      </c>
    </row>
    <row r="22" customFormat="false" ht="15" hidden="false" customHeight="false" outlineLevel="0" collapsed="false">
      <c r="A22" s="2" t="s">
        <v>76</v>
      </c>
      <c r="B22" s="2" t="s">
        <v>77</v>
      </c>
      <c r="C22" s="2" t="s">
        <v>78</v>
      </c>
      <c r="D22" s="2" t="n">
        <v>6200</v>
      </c>
    </row>
    <row r="23" customFormat="false" ht="15" hidden="false" customHeight="false" outlineLevel="0" collapsed="false">
      <c r="A23" s="2" t="s">
        <v>79</v>
      </c>
      <c r="B23" s="2" t="s">
        <v>80</v>
      </c>
      <c r="C23" s="2" t="s">
        <v>81</v>
      </c>
      <c r="D23" s="2" t="n">
        <v>2900</v>
      </c>
    </row>
    <row r="24" customFormat="false" ht="15" hidden="false" customHeight="false" outlineLevel="0" collapsed="false">
      <c r="A24" s="2" t="s">
        <v>82</v>
      </c>
      <c r="B24" s="2" t="s">
        <v>18</v>
      </c>
      <c r="C24" s="2" t="s">
        <v>83</v>
      </c>
      <c r="D24" s="2" t="n">
        <v>7400</v>
      </c>
    </row>
    <row r="25" customFormat="false" ht="15" hidden="false" customHeight="false" outlineLevel="0" collapsed="false">
      <c r="A25" s="2" t="s">
        <v>84</v>
      </c>
      <c r="B25" s="2" t="s">
        <v>74</v>
      </c>
      <c r="C25" s="2" t="s">
        <v>32</v>
      </c>
      <c r="D25" s="2" t="n">
        <v>5200</v>
      </c>
    </row>
    <row r="26" customFormat="false" ht="15" hidden="false" customHeight="false" outlineLevel="0" collapsed="false">
      <c r="A26" s="2" t="s">
        <v>85</v>
      </c>
      <c r="B26" s="2" t="s">
        <v>63</v>
      </c>
      <c r="C26" s="2" t="s">
        <v>86</v>
      </c>
      <c r="D26" s="2" t="n">
        <v>4100</v>
      </c>
    </row>
    <row r="27" customFormat="false" ht="15" hidden="false" customHeight="false" outlineLevel="0" collapsed="false">
      <c r="A27" s="2" t="s">
        <v>87</v>
      </c>
      <c r="B27" s="2" t="s">
        <v>66</v>
      </c>
      <c r="C27" s="2" t="s">
        <v>88</v>
      </c>
      <c r="D27" s="2" t="n">
        <v>3600</v>
      </c>
    </row>
    <row r="28" customFormat="false" ht="15" hidden="false" customHeight="false" outlineLevel="0" collapsed="false">
      <c r="A28" s="2" t="s">
        <v>89</v>
      </c>
      <c r="B28" s="2" t="s">
        <v>45</v>
      </c>
      <c r="C28" s="2" t="s">
        <v>90</v>
      </c>
      <c r="D28" s="2" t="n">
        <v>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9" min="8" style="0" width="11"/>
  </cols>
  <sheetData>
    <row r="1" customFormat="false" ht="26.85" hidden="false" customHeight="false" outlineLevel="0" collapsed="false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</row>
    <row r="2" customFormat="false" ht="15" hidden="false" customHeight="false" outlineLevel="0" collapsed="false">
      <c r="A2" s="2" t="str">
        <f aca="false">IF('Raw Data'!A2="","",'Raw Data'!A2)</f>
        <v>RAHIM UDDIN</v>
      </c>
      <c r="B2" s="2" t="str">
        <f aca="false">IF('Raw Data'!B2="","",'Raw Data'!B2)</f>
        <v>dhaka</v>
      </c>
      <c r="C2" s="2" t="str">
        <f aca="false">IF('Raw Data'!C2="","",'Raw Data'!C2)</f>
        <v>01711-223344</v>
      </c>
      <c r="D2" s="2" t="n">
        <f aca="false">IF('Raw Data'!D2="","",'Raw Data'!D2)</f>
        <v>5200</v>
      </c>
      <c r="E2" s="2" t="str">
        <f aca="false">TRIM(PROPER(A2))</f>
        <v>Rahim Uddin</v>
      </c>
      <c r="F2" s="2" t="str">
        <f aca="false">TRIM(PROPER(B2))</f>
        <v>Dhaka</v>
      </c>
      <c r="G2" s="2" t="str">
        <f aca="false">SUBSTITUTE(SUBSTITUTE(TRIM(C2),"-","")," ","")</f>
        <v>01711223344</v>
      </c>
      <c r="H2" s="2" t="str">
        <f aca="false">IF(COUNTA(A2:D2)=COUNTBLANK(A2:D2),"Yes","No")</f>
        <v>No</v>
      </c>
      <c r="I2" s="2" t="str">
        <f aca="false">IF(H2="Yes","","No")</f>
        <v>No</v>
      </c>
    </row>
    <row r="3" customFormat="false" ht="15" hidden="false" customHeight="false" outlineLevel="0" collapsed="false">
      <c r="A3" s="2" t="str">
        <f aca="false">IF('Raw Data'!A3="","",'Raw Data'!A3)</f>
        <v>nusrat jahan</v>
      </c>
      <c r="B3" s="2" t="str">
        <f aca="false">IF('Raw Data'!B3="","",'Raw Data'!B3)</f>
        <v> CHATTOGRAM </v>
      </c>
      <c r="C3" s="2" t="str">
        <f aca="false">IF('Raw Data'!C3="","",'Raw Data'!C3)</f>
        <v>01812 556677</v>
      </c>
      <c r="D3" s="2" t="n">
        <f aca="false">IF('Raw Data'!D3="","",'Raw Data'!D3)</f>
        <v>3400</v>
      </c>
      <c r="E3" s="2" t="str">
        <f aca="false">TRIM(PROPER(A3))</f>
        <v>Nusrat Jahan</v>
      </c>
      <c r="F3" s="2" t="str">
        <f aca="false">TRIM(PROPER(B3))</f>
        <v>Chattogram</v>
      </c>
      <c r="G3" s="2" t="str">
        <f aca="false">SUBSTITUTE(SUBSTITUTE(TRIM(C3),"-","")," ","")</f>
        <v>01812556677</v>
      </c>
      <c r="H3" s="2" t="str">
        <f aca="false">IF(COUNTA(A3:D3)=COUNTBLANK(A3:D3),"Yes","No")</f>
        <v>No</v>
      </c>
      <c r="I3" s="2" t="str">
        <f aca="false">IF(H3="Yes","",IF(COUNTIFS($E$1:E2,E3,$G$1:G2,G3)&gt;0,"Yes","No"))</f>
        <v>No</v>
      </c>
    </row>
    <row r="4" customFormat="false" ht="15" hidden="false" customHeight="false" outlineLevel="0" collapsed="false">
      <c r="A4" s="2" t="str">
        <f aca="false">IF('Raw Data'!A4="","",'Raw Data'!A4)</f>
        <v>  Karim Ahmed  </v>
      </c>
      <c r="B4" s="2" t="str">
        <f aca="false">IF('Raw Data'!B4="","",'Raw Data'!B4)</f>
        <v>Sylhet</v>
      </c>
      <c r="C4" s="2" t="str">
        <f aca="false">IF('Raw Data'!C4="","",'Raw Data'!C4)</f>
        <v>01913889900</v>
      </c>
      <c r="D4" s="2" t="n">
        <f aca="false">IF('Raw Data'!D4="","",'Raw Data'!D4)</f>
        <v>7800</v>
      </c>
      <c r="E4" s="2" t="str">
        <f aca="false">TRIM(PROPER(A4))</f>
        <v>Karim Ahmed</v>
      </c>
      <c r="F4" s="2" t="str">
        <f aca="false">TRIM(PROPER(B4))</f>
        <v>Sylhet</v>
      </c>
      <c r="G4" s="2" t="str">
        <f aca="false">SUBSTITUTE(SUBSTITUTE(TRIM(C4),"-","")," ","")</f>
        <v>01913889900</v>
      </c>
      <c r="H4" s="2" t="str">
        <f aca="false">IF(COUNTA(A4:D4)=COUNTBLANK(A4:D4),"Yes","No")</f>
        <v>No</v>
      </c>
      <c r="I4" s="2" t="str">
        <f aca="false">IF(H4="Yes","",IF(COUNTIFS($E$1:E3,E4,$G$1:G3,G4)&gt;0,"Yes","No"))</f>
        <v>No</v>
      </c>
    </row>
    <row r="5" customFormat="false" ht="15" hidden="false" customHeight="false" outlineLevel="0" collapsed="false">
      <c r="A5" s="2" t="str">
        <f aca="false">IF('Raw Data'!A5="","",'Raw Data'!A5)</f>
        <v>Tania Akter</v>
      </c>
      <c r="B5" s="2" t="str">
        <f aca="false">IF('Raw Data'!B5="","",'Raw Data'!B5)</f>
        <v>Khulna </v>
      </c>
      <c r="C5" s="2" t="str">
        <f aca="false">IF('Raw Data'!C5="","",'Raw Data'!C5)</f>
        <v>01614-112233</v>
      </c>
      <c r="D5" s="2" t="n">
        <f aca="false">IF('Raw Data'!D5="","",'Raw Data'!D5)</f>
        <v>2100</v>
      </c>
      <c r="E5" s="2" t="str">
        <f aca="false">TRIM(PROPER(A5))</f>
        <v>Tania Akter</v>
      </c>
      <c r="F5" s="2" t="str">
        <f aca="false">TRIM(PROPER(B5))</f>
        <v>Khulna</v>
      </c>
      <c r="G5" s="2" t="str">
        <f aca="false">SUBSTITUTE(SUBSTITUTE(TRIM(C5),"-","")," ","")</f>
        <v>01614112233</v>
      </c>
      <c r="H5" s="2" t="str">
        <f aca="false">IF(COUNTA(A5:D5)=COUNTBLANK(A5:D5),"Yes","No")</f>
        <v>No</v>
      </c>
      <c r="I5" s="2" t="str">
        <f aca="false">IF(H5="Yes","",IF(COUNTIFS($E$1:E4,E5,$G$1:G4,G5)&gt;0,"Yes","No"))</f>
        <v>No</v>
      </c>
    </row>
    <row r="6" customFormat="false" ht="15" hidden="false" customHeight="false" outlineLevel="0" collapsed="false">
      <c r="A6" s="2" t="str">
        <f aca="false">IF('Raw Data'!A6="","",'Raw Data'!A6)</f>
        <v>Fahim  Hasan</v>
      </c>
      <c r="B6" s="2" t="str">
        <f aca="false">IF('Raw Data'!B6="","",'Raw Data'!B6)</f>
        <v>rajshahi</v>
      </c>
      <c r="C6" s="2" t="str">
        <f aca="false">IF('Raw Data'!C6="","",'Raw Data'!C6)</f>
        <v>01515 445566</v>
      </c>
      <c r="D6" s="2" t="n">
        <f aca="false">IF('Raw Data'!D6="","",'Raw Data'!D6)</f>
        <v>9600</v>
      </c>
      <c r="E6" s="2" t="str">
        <f aca="false">TRIM(PROPER(A6))</f>
        <v>Fahim Hasan</v>
      </c>
      <c r="F6" s="2" t="str">
        <f aca="false">TRIM(PROPER(B6))</f>
        <v>Rajshahi</v>
      </c>
      <c r="G6" s="2" t="str">
        <f aca="false">SUBSTITUTE(SUBSTITUTE(TRIM(C6),"-","")," ","")</f>
        <v>01515445566</v>
      </c>
      <c r="H6" s="2" t="str">
        <f aca="false">IF(COUNTA(A6:D6)=COUNTBLANK(A6:D6),"Yes","No")</f>
        <v>No</v>
      </c>
      <c r="I6" s="2" t="str">
        <f aca="false">IF(H6="Yes","",IF(COUNTIFS($E$1:E5,E6,$G$1:G5,G6)&gt;0,"Yes","No"))</f>
        <v>No</v>
      </c>
    </row>
    <row r="7" customFormat="false" ht="15" hidden="false" customHeight="false" outlineLevel="0" collapsed="false">
      <c r="A7" s="2" t="str">
        <f aca="false">IF('Raw Data'!A7="","",'Raw Data'!A7)</f>
        <v/>
      </c>
      <c r="B7" s="2" t="str">
        <f aca="false">IF('Raw Data'!B7="","",'Raw Data'!B7)</f>
        <v/>
      </c>
      <c r="C7" s="2" t="str">
        <f aca="false">IF('Raw Data'!C7="","",'Raw Data'!C7)</f>
        <v/>
      </c>
      <c r="D7" s="2" t="str">
        <f aca="false">IF('Raw Data'!D7="","",'Raw Data'!D7)</f>
        <v/>
      </c>
      <c r="E7" s="2" t="str">
        <f aca="false">TRIM(PROPER(A7))</f>
        <v/>
      </c>
      <c r="F7" s="2" t="str">
        <f aca="false">TRIM(PROPER(B7))</f>
        <v/>
      </c>
      <c r="G7" s="2" t="str">
        <f aca="false">SUBSTITUTE(SUBSTITUTE(TRIM(C7),"-","")," ","")</f>
        <v/>
      </c>
      <c r="H7" s="2" t="str">
        <f aca="false">IF(COUNTA(A7:D7)=COUNTBLANK(A7:D7),"Yes","No")</f>
        <v>Yes</v>
      </c>
      <c r="I7" s="2" t="str">
        <f aca="false">IF(H7="Yes","",IF(COUNTIFS($E$1:E6,E7,$G$1:G6,G7)&gt;0,"Yes","No"))</f>
        <v/>
      </c>
    </row>
    <row r="8" customFormat="false" ht="15" hidden="false" customHeight="false" outlineLevel="0" collapsed="false">
      <c r="A8" s="2" t="str">
        <f aca="false">IF('Raw Data'!A8="","",'Raw Data'!A8)</f>
        <v>SADIA ISLAM</v>
      </c>
      <c r="B8" s="2" t="str">
        <f aca="false">IF('Raw Data'!B8="","",'Raw Data'!B8)</f>
        <v> DHAKA </v>
      </c>
      <c r="C8" s="2" t="str">
        <f aca="false">IF('Raw Data'!C8="","",'Raw Data'!C8)</f>
        <v>01716778899</v>
      </c>
      <c r="D8" s="2" t="n">
        <f aca="false">IF('Raw Data'!D8="","",'Raw Data'!D8)</f>
        <v>4300</v>
      </c>
      <c r="E8" s="2" t="str">
        <f aca="false">TRIM(PROPER(A8))</f>
        <v>Sadia Islam</v>
      </c>
      <c r="F8" s="2" t="str">
        <f aca="false">TRIM(PROPER(B8))</f>
        <v>Dhaka</v>
      </c>
      <c r="G8" s="2" t="str">
        <f aca="false">SUBSTITUTE(SUBSTITUTE(TRIM(C8),"-","")," ","")</f>
        <v>01716778899</v>
      </c>
      <c r="H8" s="2" t="str">
        <f aca="false">IF(COUNTA(A8:D8)=COUNTBLANK(A8:D8),"Yes","No")</f>
        <v>No</v>
      </c>
      <c r="I8" s="2" t="str">
        <f aca="false">IF(H8="Yes","",IF(COUNTIFS($E$1:E7,E8,$G$1:G7,G8)&gt;0,"Yes","No"))</f>
        <v>No</v>
      </c>
    </row>
    <row r="9" customFormat="false" ht="15" hidden="false" customHeight="false" outlineLevel="0" collapsed="false">
      <c r="A9" s="2" t="str">
        <f aca="false">IF('Raw Data'!A9="","",'Raw Data'!A9)</f>
        <v>arif hossain</v>
      </c>
      <c r="B9" s="2" t="str">
        <f aca="false">IF('Raw Data'!B9="","",'Raw Data'!B9)</f>
        <v>Dhaka</v>
      </c>
      <c r="C9" s="2" t="str">
        <f aca="false">IF('Raw Data'!C9="","",'Raw Data'!C9)</f>
        <v>01817-990011</v>
      </c>
      <c r="D9" s="2" t="n">
        <f aca="false">IF('Raw Data'!D9="","",'Raw Data'!D9)</f>
        <v>6500</v>
      </c>
      <c r="E9" s="2" t="str">
        <f aca="false">TRIM(PROPER(A9))</f>
        <v>Arif Hossain</v>
      </c>
      <c r="F9" s="2" t="str">
        <f aca="false">TRIM(PROPER(B9))</f>
        <v>Dhaka</v>
      </c>
      <c r="G9" s="2" t="str">
        <f aca="false">SUBSTITUTE(SUBSTITUTE(TRIM(C9),"-","")," ","")</f>
        <v>01817990011</v>
      </c>
      <c r="H9" s="2" t="str">
        <f aca="false">IF(COUNTA(A9:D9)=COUNTBLANK(A9:D9),"Yes","No")</f>
        <v>No</v>
      </c>
      <c r="I9" s="2" t="str">
        <f aca="false">IF(H9="Yes","",IF(COUNTIFS($E$1:E8,E9,$G$1:G8,G9)&gt;0,"Yes","No"))</f>
        <v>No</v>
      </c>
    </row>
    <row r="10" customFormat="false" ht="15" hidden="false" customHeight="false" outlineLevel="0" collapsed="false">
      <c r="A10" s="2" t="str">
        <f aca="false">IF('Raw Data'!A10="","",'Raw Data'!A10)</f>
        <v>  Mitu Rani  </v>
      </c>
      <c r="B10" s="2" t="str">
        <f aca="false">IF('Raw Data'!B10="","",'Raw Data'!B10)</f>
        <v>Barishal </v>
      </c>
      <c r="C10" s="2" t="str">
        <f aca="false">IF('Raw Data'!C10="","",'Raw Data'!C10)</f>
        <v>01918 221133</v>
      </c>
      <c r="D10" s="2" t="n">
        <f aca="false">IF('Raw Data'!D10="","",'Raw Data'!D10)</f>
        <v>1800</v>
      </c>
      <c r="E10" s="2" t="str">
        <f aca="false">TRIM(PROPER(A10))</f>
        <v>Mitu Rani</v>
      </c>
      <c r="F10" s="2" t="str">
        <f aca="false">TRIM(PROPER(B10))</f>
        <v>Barishal</v>
      </c>
      <c r="G10" s="2" t="str">
        <f aca="false">SUBSTITUTE(SUBSTITUTE(TRIM(C10),"-","")," ","")</f>
        <v>01918221133</v>
      </c>
      <c r="H10" s="2" t="str">
        <f aca="false">IF(COUNTA(A10:D10)=COUNTBLANK(A10:D10),"Yes","No")</f>
        <v>No</v>
      </c>
      <c r="I10" s="2" t="str">
        <f aca="false">IF(H10="Yes","",IF(COUNTIFS($E$1:E9,E10,$G$1:G9,G10)&gt;0,"Yes","No"))</f>
        <v>No</v>
      </c>
    </row>
    <row r="11" customFormat="false" ht="15" hidden="false" customHeight="false" outlineLevel="0" collapsed="false">
      <c r="A11" s="2" t="str">
        <f aca="false">IF('Raw Data'!A11="","",'Raw Data'!A11)</f>
        <v>Karim  Ahmed</v>
      </c>
      <c r="B11" s="2" t="str">
        <f aca="false">IF('Raw Data'!B11="","",'Raw Data'!B11)</f>
        <v>sylhet</v>
      </c>
      <c r="C11" s="2" t="str">
        <f aca="false">IF('Raw Data'!C11="","",'Raw Data'!C11)</f>
        <v>01913 889900</v>
      </c>
      <c r="D11" s="2" t="n">
        <f aca="false">IF('Raw Data'!D11="","",'Raw Data'!D11)</f>
        <v>7800</v>
      </c>
      <c r="E11" s="2" t="str">
        <f aca="false">TRIM(PROPER(A11))</f>
        <v>Karim Ahmed</v>
      </c>
      <c r="F11" s="2" t="str">
        <f aca="false">TRIM(PROPER(B11))</f>
        <v>Sylhet</v>
      </c>
      <c r="G11" s="2" t="str">
        <f aca="false">SUBSTITUTE(SUBSTITUTE(TRIM(C11),"-","")," ","")</f>
        <v>01913889900</v>
      </c>
      <c r="H11" s="2" t="str">
        <f aca="false">IF(COUNTA(A11:D11)=COUNTBLANK(A11:D11),"Yes","No")</f>
        <v>No</v>
      </c>
      <c r="I11" s="2" t="str">
        <f aca="false">IF(H11="Yes","",IF(COUNTIFS($E$1:E10,E11,$G$1:G10,G11)&gt;0,"Yes","No"))</f>
        <v>Yes</v>
      </c>
    </row>
    <row r="12" customFormat="false" ht="15" hidden="false" customHeight="false" outlineLevel="0" collapsed="false">
      <c r="A12" s="2" t="str">
        <f aca="false">IF('Raw Data'!A12="","",'Raw Data'!A12)</f>
        <v>Jamal Sheikh</v>
      </c>
      <c r="B12" s="2" t="str">
        <f aca="false">IF('Raw Data'!B12="","",'Raw Data'!B12)</f>
        <v>rangpur</v>
      </c>
      <c r="C12" s="2" t="str">
        <f aca="false">IF('Raw Data'!C12="","",'Raw Data'!C12)</f>
        <v>01619334455</v>
      </c>
      <c r="D12" s="2" t="n">
        <f aca="false">IF('Raw Data'!D12="","",'Raw Data'!D12)</f>
        <v>5100</v>
      </c>
      <c r="E12" s="2" t="str">
        <f aca="false">TRIM(PROPER(A12))</f>
        <v>Jamal Sheikh</v>
      </c>
      <c r="F12" s="2" t="str">
        <f aca="false">TRIM(PROPER(B12))</f>
        <v>Rangpur</v>
      </c>
      <c r="G12" s="2" t="str">
        <f aca="false">SUBSTITUTE(SUBSTITUTE(TRIM(C12),"-","")," ","")</f>
        <v>01619334455</v>
      </c>
      <c r="H12" s="2" t="str">
        <f aca="false">IF(COUNTA(A12:D12)=COUNTBLANK(A12:D12),"Yes","No")</f>
        <v>No</v>
      </c>
      <c r="I12" s="2" t="str">
        <f aca="false">IF(H12="Yes","",IF(COUNTIFS($E$1:E11,E12,$G$1:G11,G12)&gt;0,"Yes","No"))</f>
        <v>No</v>
      </c>
    </row>
    <row r="13" customFormat="false" ht="15" hidden="false" customHeight="false" outlineLevel="0" collapsed="false">
      <c r="A13" s="2" t="str">
        <f aca="false">IF('Raw Data'!A13="","",'Raw Data'!A13)</f>
        <v>Lima  Khatun</v>
      </c>
      <c r="B13" s="2" t="str">
        <f aca="false">IF('Raw Data'!B13="","",'Raw Data'!B13)</f>
        <v> DHAKA </v>
      </c>
      <c r="C13" s="2" t="str">
        <f aca="false">IF('Raw Data'!C13="","",'Raw Data'!C13)</f>
        <v>01720-556600</v>
      </c>
      <c r="D13" s="2" t="n">
        <f aca="false">IF('Raw Data'!D13="","",'Raw Data'!D13)</f>
        <v>3900</v>
      </c>
      <c r="E13" s="2" t="str">
        <f aca="false">TRIM(PROPER(A13))</f>
        <v>Lima Khatun</v>
      </c>
      <c r="F13" s="2" t="str">
        <f aca="false">TRIM(PROPER(B13))</f>
        <v>Dhaka</v>
      </c>
      <c r="G13" s="2" t="str">
        <f aca="false">SUBSTITUTE(SUBSTITUTE(TRIM(C13),"-","")," ","")</f>
        <v>01720556600</v>
      </c>
      <c r="H13" s="2" t="str">
        <f aca="false">IF(COUNTA(A13:D13)=COUNTBLANK(A13:D13),"Yes","No")</f>
        <v>No</v>
      </c>
      <c r="I13" s="2" t="str">
        <f aca="false">IF(H13="Yes","",IF(COUNTIFS($E$1:E12,E13,$G$1:G12,G13)&gt;0,"Yes","No"))</f>
        <v>No</v>
      </c>
    </row>
    <row r="14" customFormat="false" ht="15" hidden="false" customHeight="false" outlineLevel="0" collapsed="false">
      <c r="A14" s="2" t="str">
        <f aca="false">IF('Raw Data'!A14="","",'Raw Data'!A14)</f>
        <v>SOHEL RANA</v>
      </c>
      <c r="B14" s="2" t="str">
        <f aca="false">IF('Raw Data'!B14="","",'Raw Data'!B14)</f>
        <v>Chattogram</v>
      </c>
      <c r="C14" s="2" t="str">
        <f aca="false">IF('Raw Data'!C14="","",'Raw Data'!C14)</f>
        <v>01821 667788</v>
      </c>
      <c r="D14" s="2" t="n">
        <f aca="false">IF('Raw Data'!D14="","",'Raw Data'!D14)</f>
        <v>8200</v>
      </c>
      <c r="E14" s="2" t="str">
        <f aca="false">TRIM(PROPER(A14))</f>
        <v>Sohel Rana</v>
      </c>
      <c r="F14" s="2" t="str">
        <f aca="false">TRIM(PROPER(B14))</f>
        <v>Chattogram</v>
      </c>
      <c r="G14" s="2" t="str">
        <f aca="false">SUBSTITUTE(SUBSTITUTE(TRIM(C14),"-","")," ","")</f>
        <v>01821667788</v>
      </c>
      <c r="H14" s="2" t="str">
        <f aca="false">IF(COUNTA(A14:D14)=COUNTBLANK(A14:D14),"Yes","No")</f>
        <v>No</v>
      </c>
      <c r="I14" s="2" t="str">
        <f aca="false">IF(H14="Yes","",IF(COUNTIFS($E$1:E13,E14,$G$1:G13,G14)&gt;0,"Yes","No"))</f>
        <v>No</v>
      </c>
    </row>
    <row r="15" customFormat="false" ht="15" hidden="false" customHeight="false" outlineLevel="0" collapsed="false">
      <c r="A15" s="2" t="str">
        <f aca="false">IF('Raw Data'!A15="","",'Raw Data'!A15)</f>
        <v>rina begum</v>
      </c>
      <c r="B15" s="2" t="str">
        <f aca="false">IF('Raw Data'!B15="","",'Raw Data'!B15)</f>
        <v>Sylhet </v>
      </c>
      <c r="C15" s="2" t="str">
        <f aca="false">IF('Raw Data'!C15="","",'Raw Data'!C15)</f>
        <v>01922778800</v>
      </c>
      <c r="D15" s="2" t="n">
        <f aca="false">IF('Raw Data'!D15="","",'Raw Data'!D15)</f>
        <v>2600</v>
      </c>
      <c r="E15" s="2" t="str">
        <f aca="false">TRIM(PROPER(A15))</f>
        <v>Rina Begum</v>
      </c>
      <c r="F15" s="2" t="str">
        <f aca="false">TRIM(PROPER(B15))</f>
        <v>Sylhet</v>
      </c>
      <c r="G15" s="2" t="str">
        <f aca="false">SUBSTITUTE(SUBSTITUTE(TRIM(C15),"-","")," ","")</f>
        <v>01922778800</v>
      </c>
      <c r="H15" s="2" t="str">
        <f aca="false">IF(COUNTA(A15:D15)=COUNTBLANK(A15:D15),"Yes","No")</f>
        <v>No</v>
      </c>
      <c r="I15" s="2" t="str">
        <f aca="false">IF(H15="Yes","",IF(COUNTIFS($E$1:E14,E15,$G$1:G14,G15)&gt;0,"Yes","No"))</f>
        <v>No</v>
      </c>
    </row>
    <row r="16" customFormat="false" ht="15" hidden="false" customHeight="false" outlineLevel="0" collapsed="false">
      <c r="A16" s="2" t="str">
        <f aca="false">IF('Raw Data'!A16="","",'Raw Data'!A16)</f>
        <v>  Imran Kabir  </v>
      </c>
      <c r="B16" s="2" t="str">
        <f aca="false">IF('Raw Data'!B16="","",'Raw Data'!B16)</f>
        <v>khulna</v>
      </c>
      <c r="C16" s="2" t="str">
        <f aca="false">IF('Raw Data'!C16="","",'Raw Data'!C16)</f>
        <v>01623-889911</v>
      </c>
      <c r="D16" s="2" t="n">
        <f aca="false">IF('Raw Data'!D16="","",'Raw Data'!D16)</f>
        <v>7100</v>
      </c>
      <c r="E16" s="2" t="str">
        <f aca="false">TRIM(PROPER(A16))</f>
        <v>Imran Kabir</v>
      </c>
      <c r="F16" s="2" t="str">
        <f aca="false">TRIM(PROPER(B16))</f>
        <v>Khulna</v>
      </c>
      <c r="G16" s="2" t="str">
        <f aca="false">SUBSTITUTE(SUBSTITUTE(TRIM(C16),"-","")," ","")</f>
        <v>01623889911</v>
      </c>
      <c r="H16" s="2" t="str">
        <f aca="false">IF(COUNTA(A16:D16)=COUNTBLANK(A16:D16),"Yes","No")</f>
        <v>No</v>
      </c>
      <c r="I16" s="2" t="str">
        <f aca="false">IF(H16="Yes","",IF(COUNTIFS($E$1:E15,E16,$G$1:G15,G16)&gt;0,"Yes","No"))</f>
        <v>No</v>
      </c>
    </row>
    <row r="17" customFormat="false" ht="15" hidden="false" customHeight="false" outlineLevel="0" collapsed="false">
      <c r="A17" s="2" t="str">
        <f aca="false">IF('Raw Data'!A17="","",'Raw Data'!A17)</f>
        <v/>
      </c>
      <c r="B17" s="2" t="str">
        <f aca="false">IF('Raw Data'!B17="","",'Raw Data'!B17)</f>
        <v/>
      </c>
      <c r="C17" s="2" t="str">
        <f aca="false">IF('Raw Data'!C17="","",'Raw Data'!C17)</f>
        <v/>
      </c>
      <c r="D17" s="2" t="str">
        <f aca="false">IF('Raw Data'!D17="","",'Raw Data'!D17)</f>
        <v/>
      </c>
      <c r="E17" s="2" t="str">
        <f aca="false">TRIM(PROPER(A17))</f>
        <v/>
      </c>
      <c r="F17" s="2" t="str">
        <f aca="false">TRIM(PROPER(B17))</f>
        <v/>
      </c>
      <c r="G17" s="2" t="str">
        <f aca="false">SUBSTITUTE(SUBSTITUTE(TRIM(C17),"-","")," ","")</f>
        <v/>
      </c>
      <c r="H17" s="2" t="str">
        <f aca="false">IF(COUNTA(A17:D17)=COUNTBLANK(A17:D17),"Yes","No")</f>
        <v>Yes</v>
      </c>
      <c r="I17" s="2" t="str">
        <f aca="false">IF(H17="Yes","",IF(COUNTIFS($E$1:E16,E17,$G$1:G16,G17)&gt;0,"Yes","No"))</f>
        <v/>
      </c>
    </row>
    <row r="18" customFormat="false" ht="15" hidden="false" customHeight="false" outlineLevel="0" collapsed="false">
      <c r="A18" s="2" t="str">
        <f aca="false">IF('Raw Data'!A18="","",'Raw Data'!A18)</f>
        <v>Shila Das</v>
      </c>
      <c r="B18" s="2" t="str">
        <f aca="false">IF('Raw Data'!B18="","",'Raw Data'!B18)</f>
        <v> DHAKA </v>
      </c>
      <c r="C18" s="2" t="str">
        <f aca="false">IF('Raw Data'!C18="","",'Raw Data'!C18)</f>
        <v>01724 990022</v>
      </c>
      <c r="D18" s="2" t="n">
        <f aca="false">IF('Raw Data'!D18="","",'Raw Data'!D18)</f>
        <v>4800</v>
      </c>
      <c r="E18" s="2" t="str">
        <f aca="false">TRIM(PROPER(A18))</f>
        <v>Shila Das</v>
      </c>
      <c r="F18" s="2" t="str">
        <f aca="false">TRIM(PROPER(B18))</f>
        <v>Dhaka</v>
      </c>
      <c r="G18" s="2" t="str">
        <f aca="false">SUBSTITUTE(SUBSTITUTE(TRIM(C18),"-","")," ","")</f>
        <v>01724990022</v>
      </c>
      <c r="H18" s="2" t="str">
        <f aca="false">IF(COUNTA(A18:D18)=COUNTBLANK(A18:D18),"Yes","No")</f>
        <v>No</v>
      </c>
      <c r="I18" s="2" t="str">
        <f aca="false">IF(H18="Yes","",IF(COUNTIFS($E$1:E17,E18,$G$1:G17,G18)&gt;0,"Yes","No"))</f>
        <v>No</v>
      </c>
    </row>
    <row r="19" customFormat="false" ht="15" hidden="false" customHeight="false" outlineLevel="0" collapsed="false">
      <c r="A19" s="2" t="str">
        <f aca="false">IF('Raw Data'!A19="","",'Raw Data'!A19)</f>
        <v>Tanvir  Alam</v>
      </c>
      <c r="B19" s="2" t="str">
        <f aca="false">IF('Raw Data'!B19="","",'Raw Data'!B19)</f>
        <v>Mymensingh</v>
      </c>
      <c r="C19" s="2" t="str">
        <f aca="false">IF('Raw Data'!C19="","",'Raw Data'!C19)</f>
        <v>01825112244</v>
      </c>
      <c r="D19" s="2" t="n">
        <f aca="false">IF('Raw Data'!D19="","",'Raw Data'!D19)</f>
        <v>3300</v>
      </c>
      <c r="E19" s="2" t="str">
        <f aca="false">TRIM(PROPER(A19))</f>
        <v>Tanvir Alam</v>
      </c>
      <c r="F19" s="2" t="str">
        <f aca="false">TRIM(PROPER(B19))</f>
        <v>Mymensingh</v>
      </c>
      <c r="G19" s="2" t="str">
        <f aca="false">SUBSTITUTE(SUBSTITUTE(TRIM(C19),"-","")," ","")</f>
        <v>01825112244</v>
      </c>
      <c r="H19" s="2" t="str">
        <f aca="false">IF(COUNTA(A19:D19)=COUNTBLANK(A19:D19),"Yes","No")</f>
        <v>No</v>
      </c>
      <c r="I19" s="2" t="str">
        <f aca="false">IF(H19="Yes","",IF(COUNTIFS($E$1:E18,E19,$G$1:G18,G19)&gt;0,"Yes","No"))</f>
        <v>No</v>
      </c>
    </row>
    <row r="20" customFormat="false" ht="15" hidden="false" customHeight="false" outlineLevel="0" collapsed="false">
      <c r="A20" s="2" t="str">
        <f aca="false">IF('Raw Data'!A20="","",'Raw Data'!A20)</f>
        <v>sohel rana</v>
      </c>
      <c r="B20" s="2" t="str">
        <f aca="false">IF('Raw Data'!B20="","",'Raw Data'!B20)</f>
        <v> CHATTOGRAM </v>
      </c>
      <c r="C20" s="2" t="str">
        <f aca="false">IF('Raw Data'!C20="","",'Raw Data'!C20)</f>
        <v>01821 667788</v>
      </c>
      <c r="D20" s="2" t="n">
        <f aca="false">IF('Raw Data'!D20="","",'Raw Data'!D20)</f>
        <v>8200</v>
      </c>
      <c r="E20" s="2" t="str">
        <f aca="false">TRIM(PROPER(A20))</f>
        <v>Sohel Rana</v>
      </c>
      <c r="F20" s="2" t="str">
        <f aca="false">TRIM(PROPER(B20))</f>
        <v>Chattogram</v>
      </c>
      <c r="G20" s="2" t="str">
        <f aca="false">SUBSTITUTE(SUBSTITUTE(TRIM(C20),"-","")," ","")</f>
        <v>01821667788</v>
      </c>
      <c r="H20" s="2" t="str">
        <f aca="false">IF(COUNTA(A20:D20)=COUNTBLANK(A20:D20),"Yes","No")</f>
        <v>No</v>
      </c>
      <c r="I20" s="2" t="str">
        <f aca="false">IF(H20="Yes","",IF(COUNTIFS($E$1:E19,E20,$G$1:G19,G20)&gt;0,"Yes","No"))</f>
        <v>Yes</v>
      </c>
    </row>
    <row r="21" customFormat="false" ht="15" hidden="false" customHeight="false" outlineLevel="0" collapsed="false">
      <c r="A21" s="2" t="str">
        <f aca="false">IF('Raw Data'!A21="","",'Raw Data'!A21)</f>
        <v>MONI AKTER</v>
      </c>
      <c r="B21" s="2" t="str">
        <f aca="false">IF('Raw Data'!B21="","",'Raw Data'!B21)</f>
        <v>Dhaka </v>
      </c>
      <c r="C21" s="2" t="str">
        <f aca="false">IF('Raw Data'!C21="","",'Raw Data'!C21)</f>
        <v>01926-223355</v>
      </c>
      <c r="D21" s="2" t="n">
        <f aca="false">IF('Raw Data'!D21="","",'Raw Data'!D21)</f>
        <v>5900</v>
      </c>
      <c r="E21" s="2" t="str">
        <f aca="false">TRIM(PROPER(A21))</f>
        <v>Moni Akter</v>
      </c>
      <c r="F21" s="2" t="str">
        <f aca="false">TRIM(PROPER(B21))</f>
        <v>Dhaka</v>
      </c>
      <c r="G21" s="2" t="str">
        <f aca="false">SUBSTITUTE(SUBSTITUTE(TRIM(C21),"-","")," ","")</f>
        <v>01926223355</v>
      </c>
      <c r="H21" s="2" t="str">
        <f aca="false">IF(COUNTA(A21:D21)=COUNTBLANK(A21:D21),"Yes","No")</f>
        <v>No</v>
      </c>
      <c r="I21" s="2" t="str">
        <f aca="false">IF(H21="Yes","",IF(COUNTIFS($E$1:E20,E21,$G$1:G20,G21)&gt;0,"Yes","No"))</f>
        <v>No</v>
      </c>
    </row>
    <row r="22" customFormat="false" ht="15" hidden="false" customHeight="false" outlineLevel="0" collapsed="false">
      <c r="A22" s="2" t="str">
        <f aca="false">IF('Raw Data'!A22="","",'Raw Data'!A22)</f>
        <v>rashed khan</v>
      </c>
      <c r="B22" s="2" t="str">
        <f aca="false">IF('Raw Data'!B22="","",'Raw Data'!B22)</f>
        <v>chattogram</v>
      </c>
      <c r="C22" s="2" t="str">
        <f aca="false">IF('Raw Data'!C22="","",'Raw Data'!C22)</f>
        <v>01627 334466</v>
      </c>
      <c r="D22" s="2" t="n">
        <f aca="false">IF('Raw Data'!D22="","",'Raw Data'!D22)</f>
        <v>6200</v>
      </c>
      <c r="E22" s="2" t="str">
        <f aca="false">TRIM(PROPER(A22))</f>
        <v>Rashed Khan</v>
      </c>
      <c r="F22" s="2" t="str">
        <f aca="false">TRIM(PROPER(B22))</f>
        <v>Chattogram</v>
      </c>
      <c r="G22" s="2" t="str">
        <f aca="false">SUBSTITUTE(SUBSTITUTE(TRIM(C22),"-","")," ","")</f>
        <v>01627334466</v>
      </c>
      <c r="H22" s="2" t="str">
        <f aca="false">IF(COUNTA(A22:D22)=COUNTBLANK(A22:D22),"Yes","No")</f>
        <v>No</v>
      </c>
      <c r="I22" s="2" t="str">
        <f aca="false">IF(H22="Yes","",IF(COUNTIFS($E$1:E21,E22,$G$1:G21,G22)&gt;0,"Yes","No"))</f>
        <v>No</v>
      </c>
    </row>
    <row r="23" customFormat="false" ht="15" hidden="false" customHeight="false" outlineLevel="0" collapsed="false">
      <c r="A23" s="2" t="str">
        <f aca="false">IF('Raw Data'!A23="","",'Raw Data'!A23)</f>
        <v>  Papia Sultana  </v>
      </c>
      <c r="B23" s="2" t="str">
        <f aca="false">IF('Raw Data'!B23="","",'Raw Data'!B23)</f>
        <v> RAJSHAHI </v>
      </c>
      <c r="C23" s="2" t="str">
        <f aca="false">IF('Raw Data'!C23="","",'Raw Data'!C23)</f>
        <v>01728445577</v>
      </c>
      <c r="D23" s="2" t="n">
        <f aca="false">IF('Raw Data'!D23="","",'Raw Data'!D23)</f>
        <v>2900</v>
      </c>
      <c r="E23" s="2" t="str">
        <f aca="false">TRIM(PROPER(A23))</f>
        <v>Papia Sultana</v>
      </c>
      <c r="F23" s="2" t="str">
        <f aca="false">TRIM(PROPER(B23))</f>
        <v>Rajshahi</v>
      </c>
      <c r="G23" s="2" t="str">
        <f aca="false">SUBSTITUTE(SUBSTITUTE(TRIM(C23),"-","")," ","")</f>
        <v>01728445577</v>
      </c>
      <c r="H23" s="2" t="str">
        <f aca="false">IF(COUNTA(A23:D23)=COUNTBLANK(A23:D23),"Yes","No")</f>
        <v>No</v>
      </c>
      <c r="I23" s="2" t="str">
        <f aca="false">IF(H23="Yes","",IF(COUNTIFS($E$1:E22,E23,$G$1:G22,G23)&gt;0,"Yes","No"))</f>
        <v>No</v>
      </c>
    </row>
    <row r="24" customFormat="false" ht="15" hidden="false" customHeight="false" outlineLevel="0" collapsed="false">
      <c r="A24" s="2" t="str">
        <f aca="false">IF('Raw Data'!A24="","",'Raw Data'!A24)</f>
        <v>Habib Mia</v>
      </c>
      <c r="B24" s="2" t="str">
        <f aca="false">IF('Raw Data'!B24="","",'Raw Data'!B24)</f>
        <v>Dhaka</v>
      </c>
      <c r="C24" s="2" t="str">
        <f aca="false">IF('Raw Data'!C24="","",'Raw Data'!C24)</f>
        <v>01829-556688</v>
      </c>
      <c r="D24" s="2" t="n">
        <f aca="false">IF('Raw Data'!D24="","",'Raw Data'!D24)</f>
        <v>7400</v>
      </c>
      <c r="E24" s="2" t="str">
        <f aca="false">TRIM(PROPER(A24))</f>
        <v>Habib Mia</v>
      </c>
      <c r="F24" s="2" t="str">
        <f aca="false">TRIM(PROPER(B24))</f>
        <v>Dhaka</v>
      </c>
      <c r="G24" s="2" t="str">
        <f aca="false">SUBSTITUTE(SUBSTITUTE(TRIM(C24),"-","")," ","")</f>
        <v>01829556688</v>
      </c>
      <c r="H24" s="2" t="str">
        <f aca="false">IF(COUNTA(A24:D24)=COUNTBLANK(A24:D24),"Yes","No")</f>
        <v>No</v>
      </c>
      <c r="I24" s="2" t="str">
        <f aca="false">IF(H24="Yes","",IF(COUNTIFS($E$1:E23,E24,$G$1:G23,G24)&gt;0,"Yes","No"))</f>
        <v>No</v>
      </c>
    </row>
    <row r="25" customFormat="false" ht="15" hidden="false" customHeight="false" outlineLevel="0" collapsed="false">
      <c r="A25" s="2" t="str">
        <f aca="false">IF('Raw Data'!A25="","",'Raw Data'!A25)</f>
        <v>Rahim Uddin</v>
      </c>
      <c r="B25" s="2" t="str">
        <f aca="false">IF('Raw Data'!B25="","",'Raw Data'!B25)</f>
        <v>Dhaka </v>
      </c>
      <c r="C25" s="2" t="str">
        <f aca="false">IF('Raw Data'!C25="","",'Raw Data'!C25)</f>
        <v>01711-223344</v>
      </c>
      <c r="D25" s="2" t="n">
        <f aca="false">IF('Raw Data'!D25="","",'Raw Data'!D25)</f>
        <v>5200</v>
      </c>
      <c r="E25" s="2" t="str">
        <f aca="false">TRIM(PROPER(A25))</f>
        <v>Rahim Uddin</v>
      </c>
      <c r="F25" s="2" t="str">
        <f aca="false">TRIM(PROPER(B25))</f>
        <v>Dhaka</v>
      </c>
      <c r="G25" s="2" t="str">
        <f aca="false">SUBSTITUTE(SUBSTITUTE(TRIM(C25),"-","")," ","")</f>
        <v>01711223344</v>
      </c>
      <c r="H25" s="2" t="str">
        <f aca="false">IF(COUNTA(A25:D25)=COUNTBLANK(A25:D25),"Yes","No")</f>
        <v>No</v>
      </c>
      <c r="I25" s="2" t="str">
        <f aca="false">IF(H25="Yes","",IF(COUNTIFS($E$1:E24,E25,$G$1:G24,G25)&gt;0,"Yes","No"))</f>
        <v>Yes</v>
      </c>
    </row>
    <row r="26" customFormat="false" ht="15" hidden="false" customHeight="false" outlineLevel="0" collapsed="false">
      <c r="A26" s="2" t="str">
        <f aca="false">IF('Raw Data'!A26="","",'Raw Data'!A26)</f>
        <v>Nadia  Rahman</v>
      </c>
      <c r="B26" s="2" t="str">
        <f aca="false">IF('Raw Data'!B26="","",'Raw Data'!B26)</f>
        <v>Sylhet </v>
      </c>
      <c r="C26" s="2" t="str">
        <f aca="false">IF('Raw Data'!C26="","",'Raw Data'!C26)</f>
        <v>01930 667799</v>
      </c>
      <c r="D26" s="2" t="n">
        <f aca="false">IF('Raw Data'!D26="","",'Raw Data'!D26)</f>
        <v>4100</v>
      </c>
      <c r="E26" s="2" t="str">
        <f aca="false">TRIM(PROPER(A26))</f>
        <v>Nadia Rahman</v>
      </c>
      <c r="F26" s="2" t="str">
        <f aca="false">TRIM(PROPER(B26))</f>
        <v>Sylhet</v>
      </c>
      <c r="G26" s="2" t="str">
        <f aca="false">SUBSTITUTE(SUBSTITUTE(TRIM(C26),"-","")," ","")</f>
        <v>01930667799</v>
      </c>
      <c r="H26" s="2" t="str">
        <f aca="false">IF(COUNTA(A26:D26)=COUNTBLANK(A26:D26),"Yes","No")</f>
        <v>No</v>
      </c>
      <c r="I26" s="2" t="str">
        <f aca="false">IF(H26="Yes","",IF(COUNTIFS($E$1:E25,E26,$G$1:G25,G26)&gt;0,"Yes","No"))</f>
        <v>No</v>
      </c>
    </row>
    <row r="27" customFormat="false" ht="15" hidden="false" customHeight="false" outlineLevel="0" collapsed="false">
      <c r="A27" s="2" t="str">
        <f aca="false">IF('Raw Data'!A27="","",'Raw Data'!A27)</f>
        <v>KAMRUL ISLAM</v>
      </c>
      <c r="B27" s="2" t="str">
        <f aca="false">IF('Raw Data'!B27="","",'Raw Data'!B27)</f>
        <v>khulna</v>
      </c>
      <c r="C27" s="2" t="str">
        <f aca="false">IF('Raw Data'!C27="","",'Raw Data'!C27)</f>
        <v>01631778800</v>
      </c>
      <c r="D27" s="2" t="n">
        <f aca="false">IF('Raw Data'!D27="","",'Raw Data'!D27)</f>
        <v>3600</v>
      </c>
      <c r="E27" s="2" t="str">
        <f aca="false">TRIM(PROPER(A27))</f>
        <v>Kamrul Islam</v>
      </c>
      <c r="F27" s="2" t="str">
        <f aca="false">TRIM(PROPER(B27))</f>
        <v>Khulna</v>
      </c>
      <c r="G27" s="2" t="str">
        <f aca="false">SUBSTITUTE(SUBSTITUTE(TRIM(C27),"-","")," ","")</f>
        <v>01631778800</v>
      </c>
      <c r="H27" s="2" t="str">
        <f aca="false">IF(COUNTA(A27:D27)=COUNTBLANK(A27:D27),"Yes","No")</f>
        <v>No</v>
      </c>
      <c r="I27" s="2" t="str">
        <f aca="false">IF(H27="Yes","",IF(COUNTIFS($E$1:E26,E27,$G$1:G26,G27)&gt;0,"Yes","No"))</f>
        <v>No</v>
      </c>
    </row>
    <row r="28" customFormat="false" ht="15" hidden="false" customHeight="false" outlineLevel="0" collapsed="false">
      <c r="A28" s="2" t="str">
        <f aca="false">IF('Raw Data'!A28="","",'Raw Data'!A28)</f>
        <v>farzana haque</v>
      </c>
      <c r="B28" s="2" t="str">
        <f aca="false">IF('Raw Data'!B28="","",'Raw Data'!B28)</f>
        <v> DHAKA </v>
      </c>
      <c r="C28" s="2" t="str">
        <f aca="false">IF('Raw Data'!C28="","",'Raw Data'!C28)</f>
        <v>01732-889911</v>
      </c>
      <c r="D28" s="2" t="n">
        <f aca="false">IF('Raw Data'!D28="","",'Raw Data'!D28)</f>
        <v>5500</v>
      </c>
      <c r="E28" s="2" t="str">
        <f aca="false">TRIM(PROPER(A28))</f>
        <v>Farzana Haque</v>
      </c>
      <c r="F28" s="2" t="str">
        <f aca="false">TRIM(PROPER(B28))</f>
        <v>Dhaka</v>
      </c>
      <c r="G28" s="2" t="str">
        <f aca="false">SUBSTITUTE(SUBSTITUTE(TRIM(C28),"-","")," ","")</f>
        <v>01732889911</v>
      </c>
      <c r="H28" s="2" t="str">
        <f aca="false">IF(COUNTA(A28:D28)=COUNTBLANK(A28:D28),"Yes","No")</f>
        <v>No</v>
      </c>
      <c r="I28" s="2" t="str">
        <f aca="false">IF(H28="Yes","",IF(COUNTIFS($E$1:E27,E28,$G$1:G27,G28)&gt;0,"Yes","No"))</f>
        <v>No</v>
      </c>
    </row>
    <row r="30" customFormat="false" ht="15" hidden="false" customHeight="false" outlineLevel="0" collapsed="false">
      <c r="A30" s="4" t="s">
        <v>100</v>
      </c>
      <c r="E30" s="4" t="n">
        <f aca="false">COUNTIFS(H2:H28,"No",I2:I28,"No")</f>
        <v>22</v>
      </c>
    </row>
  </sheetData>
  <conditionalFormatting sqref="A2:I28">
    <cfRule type="expression" priority="2" aboveAverage="0" equalAverage="0" bottom="0" percent="0" rank="0" text="" dxfId="0">
      <formula>OR($H2="Yes",$I2="Yes")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26.85" hidden="false" customHeight="false" outlineLevel="0" collapsed="false">
      <c r="A1" s="3" t="s">
        <v>27</v>
      </c>
      <c r="B1" s="3" t="s">
        <v>15</v>
      </c>
      <c r="C1" s="3" t="s">
        <v>28</v>
      </c>
      <c r="D1" s="3" t="s">
        <v>29</v>
      </c>
    </row>
    <row r="2" customFormat="false" ht="15" hidden="false" customHeight="false" outlineLevel="0" collapsed="false">
      <c r="A2" s="2" t="s">
        <v>84</v>
      </c>
      <c r="B2" s="2" t="s">
        <v>18</v>
      </c>
      <c r="C2" s="7" t="s">
        <v>101</v>
      </c>
      <c r="D2" s="5" t="n">
        <v>5200</v>
      </c>
    </row>
    <row r="3" customFormat="false" ht="15" hidden="false" customHeight="false" outlineLevel="0" collapsed="false">
      <c r="A3" s="2" t="s">
        <v>102</v>
      </c>
      <c r="B3" s="2" t="s">
        <v>19</v>
      </c>
      <c r="C3" s="7" t="s">
        <v>103</v>
      </c>
      <c r="D3" s="5" t="n">
        <v>3400</v>
      </c>
    </row>
    <row r="4" customFormat="false" ht="15" hidden="false" customHeight="false" outlineLevel="0" collapsed="false">
      <c r="A4" s="2" t="s">
        <v>104</v>
      </c>
      <c r="B4" s="2" t="s">
        <v>20</v>
      </c>
      <c r="C4" s="7" t="s">
        <v>37</v>
      </c>
      <c r="D4" s="5" t="n">
        <v>7800</v>
      </c>
    </row>
    <row r="5" customFormat="false" ht="15" hidden="false" customHeight="false" outlineLevel="0" collapsed="false">
      <c r="A5" s="2" t="s">
        <v>38</v>
      </c>
      <c r="B5" s="2" t="s">
        <v>21</v>
      </c>
      <c r="C5" s="7" t="s">
        <v>105</v>
      </c>
      <c r="D5" s="5" t="n">
        <v>2100</v>
      </c>
    </row>
    <row r="6" customFormat="false" ht="15" hidden="false" customHeight="false" outlineLevel="0" collapsed="false">
      <c r="A6" s="2" t="s">
        <v>106</v>
      </c>
      <c r="B6" s="2" t="s">
        <v>22</v>
      </c>
      <c r="C6" s="7" t="s">
        <v>107</v>
      </c>
      <c r="D6" s="5" t="n">
        <v>9600</v>
      </c>
    </row>
    <row r="7" customFormat="false" ht="15" hidden="false" customHeight="false" outlineLevel="0" collapsed="false">
      <c r="A7" s="2" t="s">
        <v>108</v>
      </c>
      <c r="B7" s="2" t="s">
        <v>18</v>
      </c>
      <c r="C7" s="7" t="s">
        <v>46</v>
      </c>
      <c r="D7" s="5" t="n">
        <v>4300</v>
      </c>
    </row>
    <row r="8" customFormat="false" ht="15" hidden="false" customHeight="false" outlineLevel="0" collapsed="false">
      <c r="A8" s="2" t="s">
        <v>109</v>
      </c>
      <c r="B8" s="2" t="s">
        <v>18</v>
      </c>
      <c r="C8" s="7" t="s">
        <v>110</v>
      </c>
      <c r="D8" s="5" t="n">
        <v>6500</v>
      </c>
    </row>
    <row r="9" customFormat="false" ht="15" hidden="false" customHeight="false" outlineLevel="0" collapsed="false">
      <c r="A9" s="2" t="s">
        <v>111</v>
      </c>
      <c r="B9" s="2" t="s">
        <v>25</v>
      </c>
      <c r="C9" s="7" t="s">
        <v>112</v>
      </c>
      <c r="D9" s="5" t="n">
        <v>1800</v>
      </c>
    </row>
    <row r="10" customFormat="false" ht="15" hidden="false" customHeight="false" outlineLevel="0" collapsed="false">
      <c r="A10" s="2" t="s">
        <v>55</v>
      </c>
      <c r="B10" s="2" t="s">
        <v>23</v>
      </c>
      <c r="C10" s="7" t="s">
        <v>57</v>
      </c>
      <c r="D10" s="5" t="n">
        <v>5100</v>
      </c>
    </row>
    <row r="11" customFormat="false" ht="15" hidden="false" customHeight="false" outlineLevel="0" collapsed="false">
      <c r="A11" s="2" t="s">
        <v>113</v>
      </c>
      <c r="B11" s="2" t="s">
        <v>18</v>
      </c>
      <c r="C11" s="7" t="s">
        <v>114</v>
      </c>
      <c r="D11" s="5" t="n">
        <v>3900</v>
      </c>
    </row>
    <row r="12" customFormat="false" ht="15" hidden="false" customHeight="false" outlineLevel="0" collapsed="false">
      <c r="A12" s="2" t="s">
        <v>115</v>
      </c>
      <c r="B12" s="2" t="s">
        <v>19</v>
      </c>
      <c r="C12" s="7" t="s">
        <v>116</v>
      </c>
      <c r="D12" s="5" t="n">
        <v>8200</v>
      </c>
    </row>
    <row r="13" customFormat="false" ht="15" hidden="false" customHeight="false" outlineLevel="0" collapsed="false">
      <c r="A13" s="2" t="s">
        <v>117</v>
      </c>
      <c r="B13" s="2" t="s">
        <v>20</v>
      </c>
      <c r="C13" s="7" t="s">
        <v>64</v>
      </c>
      <c r="D13" s="5" t="n">
        <v>2600</v>
      </c>
    </row>
    <row r="14" customFormat="false" ht="15" hidden="false" customHeight="false" outlineLevel="0" collapsed="false">
      <c r="A14" s="2" t="s">
        <v>118</v>
      </c>
      <c r="B14" s="2" t="s">
        <v>21</v>
      </c>
      <c r="C14" s="7" t="s">
        <v>119</v>
      </c>
      <c r="D14" s="5" t="n">
        <v>7100</v>
      </c>
    </row>
    <row r="15" customFormat="false" ht="15" hidden="false" customHeight="false" outlineLevel="0" collapsed="false">
      <c r="A15" s="2" t="s">
        <v>68</v>
      </c>
      <c r="B15" s="2" t="s">
        <v>18</v>
      </c>
      <c r="C15" s="7" t="s">
        <v>120</v>
      </c>
      <c r="D15" s="5" t="n">
        <v>4800</v>
      </c>
    </row>
    <row r="16" customFormat="false" ht="15" hidden="false" customHeight="false" outlineLevel="0" collapsed="false">
      <c r="A16" s="2" t="s">
        <v>121</v>
      </c>
      <c r="B16" s="2" t="s">
        <v>24</v>
      </c>
      <c r="C16" s="7" t="s">
        <v>71</v>
      </c>
      <c r="D16" s="5" t="n">
        <v>3300</v>
      </c>
    </row>
    <row r="17" customFormat="false" ht="15" hidden="false" customHeight="false" outlineLevel="0" collapsed="false">
      <c r="A17" s="2" t="s">
        <v>122</v>
      </c>
      <c r="B17" s="2" t="s">
        <v>18</v>
      </c>
      <c r="C17" s="7" t="s">
        <v>123</v>
      </c>
      <c r="D17" s="5" t="n">
        <v>5900</v>
      </c>
    </row>
    <row r="18" customFormat="false" ht="15" hidden="false" customHeight="false" outlineLevel="0" collapsed="false">
      <c r="A18" s="2" t="s">
        <v>124</v>
      </c>
      <c r="B18" s="2" t="s">
        <v>19</v>
      </c>
      <c r="C18" s="7" t="s">
        <v>125</v>
      </c>
      <c r="D18" s="5" t="n">
        <v>6200</v>
      </c>
    </row>
    <row r="19" customFormat="false" ht="15" hidden="false" customHeight="false" outlineLevel="0" collapsed="false">
      <c r="A19" s="2" t="s">
        <v>126</v>
      </c>
      <c r="B19" s="2" t="s">
        <v>22</v>
      </c>
      <c r="C19" s="7" t="s">
        <v>81</v>
      </c>
      <c r="D19" s="5" t="n">
        <v>2900</v>
      </c>
    </row>
    <row r="20" customFormat="false" ht="15" hidden="false" customHeight="false" outlineLevel="0" collapsed="false">
      <c r="A20" s="2" t="s">
        <v>82</v>
      </c>
      <c r="B20" s="2" t="s">
        <v>18</v>
      </c>
      <c r="C20" s="7" t="s">
        <v>127</v>
      </c>
      <c r="D20" s="5" t="n">
        <v>7400</v>
      </c>
    </row>
    <row r="21" customFormat="false" ht="15" hidden="false" customHeight="false" outlineLevel="0" collapsed="false">
      <c r="A21" s="2" t="s">
        <v>128</v>
      </c>
      <c r="B21" s="2" t="s">
        <v>20</v>
      </c>
      <c r="C21" s="7" t="s">
        <v>129</v>
      </c>
      <c r="D21" s="5" t="n">
        <v>4100</v>
      </c>
    </row>
    <row r="22" customFormat="false" ht="15" hidden="false" customHeight="false" outlineLevel="0" collapsed="false">
      <c r="A22" s="2" t="s">
        <v>130</v>
      </c>
      <c r="B22" s="2" t="s">
        <v>21</v>
      </c>
      <c r="C22" s="7" t="s">
        <v>88</v>
      </c>
      <c r="D22" s="5" t="n">
        <v>3600</v>
      </c>
    </row>
    <row r="23" customFormat="false" ht="15" hidden="false" customHeight="false" outlineLevel="0" collapsed="false">
      <c r="A23" s="2" t="s">
        <v>131</v>
      </c>
      <c r="B23" s="2" t="s">
        <v>18</v>
      </c>
      <c r="C23" s="7" t="s">
        <v>132</v>
      </c>
      <c r="D23" s="5" t="n">
        <v>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2026-10-18T10:04:44Z</dcterms:created>
  <dc:creator>openpyxl</dc:creator>
  <dc:description/>
  <dc:language>en-US</dc:language>
  <cp:lastModifiedBy/>
  <dcterms:modified xsi:type="dcterms:W3CDTF">2026-10-18T10:04:44Z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